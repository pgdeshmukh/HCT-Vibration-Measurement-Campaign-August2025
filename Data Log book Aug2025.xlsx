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Log book" sheetId="1" r:id="rId1"/>
    <sheet name="Summary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<sst xmlns="http://schemas.openxmlformats.org/spreadsheetml/2006/main" count="526" uniqueCount="289">
  <si>
    <t>T1</t>
  </si>
  <si>
    <t>set 1</t>
  </si>
  <si>
    <t>Set 2</t>
  </si>
  <si>
    <t>T3</t>
  </si>
  <si>
    <t>T2A</t>
  </si>
  <si>
    <t>T2B</t>
  </si>
  <si>
    <t>T2C</t>
  </si>
  <si>
    <t>T2D</t>
  </si>
  <si>
    <t>T4</t>
  </si>
  <si>
    <t>T5</t>
  </si>
  <si>
    <t>T6</t>
  </si>
  <si>
    <t>Good</t>
  </si>
  <si>
    <t>S1</t>
  </si>
  <si>
    <t>S2</t>
  </si>
  <si>
    <t>S3</t>
  </si>
  <si>
    <t>S4</t>
  </si>
  <si>
    <t>S5</t>
  </si>
  <si>
    <t>Acceptable</t>
  </si>
  <si>
    <t>poor</t>
  </si>
  <si>
    <t>NA</t>
  </si>
  <si>
    <t>Test Name</t>
  </si>
  <si>
    <t>Sensor Noise floor</t>
  </si>
  <si>
    <t>No Motion, AZ,EL and ID sensors</t>
  </si>
  <si>
    <t>Az top</t>
  </si>
  <si>
    <t>EL top</t>
  </si>
  <si>
    <t>ID center</t>
  </si>
  <si>
    <t>EL Motor</t>
  </si>
  <si>
    <t>AZ motor</t>
  </si>
  <si>
    <t>AZ axis hammer from left side center</t>
  </si>
  <si>
    <t>EL axis hammer from fron side center of EL ring</t>
  </si>
  <si>
    <t>ID axis hammer from fron side center of ID support bar</t>
  </si>
  <si>
    <t>Telescope power on and home. Controlled via VNC from telescope floor. Vibration seen in Instrument Derotator which may be due to load Imbalance</t>
  </si>
  <si>
    <t>Idel condition with 3 Axis and M2 axis on holding torque</t>
  </si>
  <si>
    <t>Slew EZ axis (90 to 180 deg and back).</t>
  </si>
  <si>
    <t>T7</t>
  </si>
  <si>
    <t>T8</t>
  </si>
  <si>
    <t>T9</t>
  </si>
  <si>
    <t>T10</t>
  </si>
  <si>
    <t>Two people waling on telescope floor and walinkg down on staircase and back.</t>
  </si>
  <si>
    <t>T11</t>
  </si>
  <si>
    <t>Chiller On</t>
  </si>
  <si>
    <t xml:space="preserve">Repeat. </t>
  </si>
  <si>
    <t>Set1</t>
  </si>
  <si>
    <t>Set2</t>
  </si>
  <si>
    <t>Set 3</t>
  </si>
  <si>
    <t>retested</t>
  </si>
  <si>
    <t>Chiler On</t>
  </si>
  <si>
    <t>Set 4</t>
  </si>
  <si>
    <t>Chiller OFF</t>
  </si>
  <si>
    <t>Idel condition with 3 Axis and M2 axis on holding torque. EL at 45 deg. Chiller ON.</t>
  </si>
  <si>
    <t>Idel condition with 3 Axis and M2 axis on holding torque. EL at 45 deg. Chiller OFF.</t>
  </si>
  <si>
    <t>Slew El axis (80 to 25 and 25 to 80 deg).</t>
  </si>
  <si>
    <t>Dome open Wind data collected. Wiondows closed</t>
  </si>
  <si>
    <t>S Direction from WS 110deg</t>
  </si>
  <si>
    <t>from 0 to 110 deg</t>
  </si>
  <si>
    <t>4m/s speed.</t>
  </si>
  <si>
    <t>T 18degC</t>
  </si>
  <si>
    <t>WD 110</t>
  </si>
  <si>
    <t>3m/s speed.</t>
  </si>
  <si>
    <t>Time 2208 start of logging for wind corrilation</t>
  </si>
  <si>
    <t>Time 2213 start of logging for wind corrilation</t>
  </si>
  <si>
    <t>Dome Moving in Slew Rate. Telescope in Holding Torque.</t>
  </si>
  <si>
    <t>Wind flow. Telescope at 45 deg Telescope in Holding Torque.</t>
  </si>
  <si>
    <t>Wind flow. Telescope at 90 deg Telescope in Holding Torque.</t>
  </si>
  <si>
    <t>Dome Moving in Track Rate. Telescope in Holding Torque.</t>
  </si>
  <si>
    <t>From 90 to 180</t>
  </si>
  <si>
    <t>Set3</t>
  </si>
  <si>
    <t>Approx 15deg per hour. Every few minutes motion was observed. Target for Dome  was Az180 EL45</t>
  </si>
  <si>
    <t>Only one axis moving. No Derotation.</t>
  </si>
  <si>
    <t>Track EL axis. East Object</t>
  </si>
  <si>
    <t>Track AZ axis. South Object</t>
  </si>
  <si>
    <t>Track AZ axis. South Object with Derotator On</t>
  </si>
  <si>
    <t>Tracking object from Az98, El 48</t>
  </si>
  <si>
    <t>Track EL axis. South Object with Derotator On</t>
  </si>
  <si>
    <t>Set4</t>
  </si>
  <si>
    <t>Only one axis moving. Derotation ON.</t>
  </si>
  <si>
    <t>Tracking object from Az178, El 41</t>
  </si>
  <si>
    <t xml:space="preserve">Track EL axis. East Object. </t>
  </si>
  <si>
    <t>T12</t>
  </si>
  <si>
    <t>T13</t>
  </si>
  <si>
    <t>ID Slew 360 deg. Telescope Az El in holding Torque.</t>
  </si>
  <si>
    <t>ID -90 to 270 and back. Telescope Az 90 and EL 85.</t>
  </si>
  <si>
    <t>Order TBD</t>
  </si>
  <si>
    <t>Set5</t>
  </si>
  <si>
    <t>183904 On Dome</t>
  </si>
  <si>
    <t>183552 On Dome</t>
  </si>
  <si>
    <t>Set6</t>
  </si>
  <si>
    <t>Tracking object from Az95, El 62</t>
  </si>
  <si>
    <t>Tracking object from Az95, El 63</t>
  </si>
  <si>
    <t>Tracking object from Az178, El37</t>
  </si>
  <si>
    <t>Tracking object from Az178, El38</t>
  </si>
  <si>
    <t>Set7</t>
  </si>
  <si>
    <t>Test No.</t>
  </si>
  <si>
    <t>Set No.</t>
  </si>
  <si>
    <t>Remark</t>
  </si>
  <si>
    <t>Notes</t>
  </si>
  <si>
    <t>Sensor Location &gt;&gt;&gt;</t>
  </si>
  <si>
    <t>Dome</t>
  </si>
  <si>
    <t>useful data after 65sec.</t>
  </si>
  <si>
    <t>Data Quality Check (and log name)</t>
  </si>
  <si>
    <t>Sensor Location</t>
  </si>
  <si>
    <t>Dominant Frequency (Hz)</t>
  </si>
  <si>
    <t>Analysis Summary</t>
  </si>
  <si>
    <t>07.35.16</t>
  </si>
  <si>
    <t>07.35.52</t>
  </si>
  <si>
    <t>07.36.00</t>
  </si>
  <si>
    <t>&lt; Noise Floor</t>
  </si>
  <si>
    <t>S3_Dome</t>
  </si>
  <si>
    <t>99.71 Hz | 0.000021 g | 0.000203 m/s^2 | LOW</t>
  </si>
  <si>
    <t>626.88 Hz | 0.000024 g | 0.000234 m/s^2 | LOW
498.52 Hz | 0.000021 g | 0.000207 m/s^2 | LOW
398.82 Hz | 0.000020 g | 0.000199 m/s^2 | LOW</t>
  </si>
  <si>
    <t>99.71 Hz | 0.000026 g | 0.000258 m/s^2 | LOW
48.87 Hz | 0.000021 g | 0.000203 m/s^2 | LOW</t>
  </si>
  <si>
    <t>99.70 Hz | 0.000023 g | 0.000224 m/s^2 | LOW
626.84 Hz | 0.000054 g | 0.000533 m/s^2 | LOW
65.26 Hz | 0.000047 g | 0.000459 m/s^2 | LOW</t>
  </si>
  <si>
    <t>67.6 Hz | ~0.00015 g | ~0.00150 m/s² | MODERATE
99.71 Hz | 0.000042 g | 0.000415 m/s² | LOW
114.66 Hz | 0.000036 g | 0.000352 m/s² | LOW
192.8 Hz | ~0.000083 g | ~0.00082 m/s² | LOW</t>
  </si>
  <si>
    <t>5.60 Hz | ~0.000045 g | ~0.00044 m/s² | LOW
31.7 Hz | ~0.000041 g | ~0.00040 m/s² | LOW
48.86 Hz | 0.000028 g | 0.000279 m/s² | LOW
67.3 Hz | ~0.000025 g | ~0.00024 m/s² | LOW
183.24 Hz | 0.000026 g | 0.000253 m/s² | LOW</t>
  </si>
  <si>
    <t>5.60 Hz | ~0.000025 g | ~0.00024 m/s² | LOW
31.7 Hz | ~0.000024 g | ~0.00023 m/s² | LOW
37.0 Hz | ~0.000029 g | ~0.00029 m/s² | LOW
50.9 Hz | ~0.000022 g | ~0.00021 m/s² | LOW</t>
  </si>
  <si>
    <t>68.5 Hz | ~0.000060 g | ~0.00058 m/s² | LOW
99.71 Hz | 0.000037 g | 0.000366 m/s² | LOW</t>
  </si>
  <si>
    <t>5.59 Hz | ~0.000037 g | ~0.00036 m/s² | LOW</t>
  </si>
  <si>
    <t>5.57 Hz | ~0.000030 g | ~0.00030 m/s² | LOW
5.87 Hz | ~0.000054 g | ~0.00053 m/s² | LOW</t>
  </si>
  <si>
    <t>1.25 Hz | 0.000052 g | 0.000507 m/s² | LOW
5.6 Hz | ~0.000033 g | ~0.00032 m/s² | LOW
56.33 Hz | 0.000047 g | 0.000465 m/s² | LOW</t>
  </si>
  <si>
    <t>4.5 Hz | ~0.000040 g | ~0.00039 m/s² | LOW
5.8 Hz | ~0.000030 g | ~0.00029 m/s² | LOW
48.85 Hz | 0.000026 g | 0.000250 m/s² | LOW</t>
  </si>
  <si>
    <t>5.9 Hz | ~0.000032 g | ~0.00031 m/s² | LOW
48.85 Hz | ~0.000025 g | ~0.00024 m/s² | LOW
186.5 Hz | ~0.000033 g | ~0.00032 m/s² | LOW</t>
  </si>
  <si>
    <t xml:space="preserve"> DISCONTINUOUS Data</t>
  </si>
  <si>
    <t>3.52 Hz | ~0.00011 g | ~0.00109 m/s² | MODERATE
55.0 Hz | ~0.00011 g | ~0.00108 m/s² | MODERATE
66.67 Hz | ~0.00050 g | ~0.0049 m/s² | MODERATE</t>
  </si>
  <si>
    <t>3.52 Hz | ~0.00010 g | ~0.00100 m/s² | MODERATE–LOW
51.0 Hz | ~0.000047 g | ~0.00046 m/s² | LOW
53.7 Hz | ~0.000093 g | ~0.00092 m/s² | LOW</t>
  </si>
  <si>
    <t>10.7–13.3 Hz | ~0.00015–0.00062 g | ~0.0015–0.0061 m/s² | MODERATE
51.7 Hz | ~0.000125 g | ~0.00123 m/s² | MODERATE</t>
  </si>
  <si>
    <t>72.66 Hz | 0.000049 g | 0.000483 m/s² | LOW
87.52 Hz | ~0.000060 g | ~0.00058 m/s² | LOW
195.74 Hz | ~0.000085 g | ~0.00083 m/s² | LOW</t>
  </si>
  <si>
    <t>87.52 Hz | ~0.000035 g | ~0.00035 m/s² | LOW</t>
  </si>
  <si>
    <t>29.0 Hz | ~0.000023 g | ~0.00022 m/s² | LOW
48.86 Hz | 0.000029 g | 0.000281 m/s² | LOW
119.8 Hz | ~0.000060 g | ~0.00060 m/s² | LOW
187.91 Hz | ~0.000040 g | ~0.00040 m/s² | LOW</t>
  </si>
  <si>
    <t>48.88 Hz | 0.000022 g | 0.000220 m/s² | LOW
87.53 Hz | ~0.00009 g | ~0.00088 m/s² | MODERATE–LOW</t>
  </si>
  <si>
    <t>87.53 Hz | ~0.00004–0.00009 g | ~0.00038–0.00091 m/s² | LOW</t>
  </si>
  <si>
    <t>48.87 Hz | 0.000033 g | 0.000323 m/s² | LOW
119.8 Hz | ~0.000055 g | ~0.00054 m/s² | LOW
187.8 Hz | ~0.000045 g | ~0.00045 m/s² | LOW</t>
  </si>
  <si>
    <t>52.7 Hz | ~0.00012 g | ~0.00118 m/s² | MODERATE
55.3 Hz | ~0.00012 g | ~0.00118 m/s² | MODERATE
67.0 Hz | ~0.00036 g | ~0.00349 m/s² | MODERATE</t>
  </si>
  <si>
    <t>50.8 Hz | ~0.00012 g | ~0.00122 m/s² | MODERATE
52.7 Hz | ~0.00011 g | ~0.00108 m/s² | MODERATE
57.5 Hz | ~0.00011 g | ~0.00114 m/s² | MODERATE</t>
  </si>
  <si>
    <t>36.7 Hz | ~0.00022 g | ~0.00219 m/s² | MODERATE
45.2 Hz | ~0.00012 g | ~0.00121 m/s² | MODERATE
52.8 Hz | ~0.00024 g | ~0.00233 m/s² | MODERATE
118.3 Hz | 0.000118 g | 0.001155 m/s² | MODERAT</t>
  </si>
  <si>
    <t>3.52 Hz | ~0.00038 g | ~0.00373 m/s² | MODERATE
46.67 Hz | ~0.00027 g | ~0.00265 m/s² | MODERATE
53.72 Hz | ~0.00025 g | ~0.00248 m/s² | MODERATE
67.65 Hz | ~0.00028 g | ~0.00272 m/s² | MODERATE</t>
  </si>
  <si>
    <t>3.52 Hz | ~0.00027 g | ~0.00265 m/s² | MODERATE
53.73 Hz | ~0.00014 g | ~0.00137 m/s² | MODERATE–LOW
147.05 Hz | 0.000049 g | 0.000482 m/s² | LOW</t>
  </si>
  <si>
    <t>53.74 Hz | ~0.00084 g | ~0.00824 m/s² | MODERATE
96.87 Hz | 0.000445 g | 0.004359 m/s² | MODERATE
147.06 Hz | ~0.00080 g | ~0.00785 m/s² | MODERATE
197.3 Hz | ~0.00063 g | ~0.00619 m/s² | MODERATE</t>
  </si>
  <si>
    <t>66.7 Hz | ~0.00004 g | ~0.00039 m/s² | LOW
99.73 Hz | ~0.00003 g | ~0.00030 m/s² | LOW</t>
  </si>
  <si>
    <t>17.30 Hz | ~0.000024 g | ~0.00024 m/s² | LOW</t>
  </si>
  <si>
    <t>188.48 Hz | ~0.00005 g | ~0.00049 m/s² | LOW
37.96 Hz | ~0.00005 g | ~0.00044 m/s² | LOW
30.37 Hz | ~0.00003 g | ~0.00030 m/s² | LOW
41.30 Hz | ~0.00003 g | ~0.00029 m/s² | LOW</t>
  </si>
  <si>
    <t>67.51 Hz | ~0.00026 g | ~0.00251 m/s² | MODERATE
132.02 Hz | ~0.00005 g | ~0.00045 m/s² | LOW</t>
  </si>
  <si>
    <t>83.75 Hz | ~0.00003 g | ~0.00028 m/s² | LOW
30.36 Hz | ~0.00007 g | ~0.00072 m/s² | LOW
19.28 Hz | ~0.00002 g | ~0.00022 m/s² | LOW
37.93 Hz | ~0.00003 g | ~0.00033 m/s² | LOW</t>
  </si>
  <si>
    <t>67.84 Hz | ~0.00023 g | ~0.00230 m/s² | MODERATE</t>
  </si>
  <si>
    <t>30.38 Hz | ~0.00003 g | ~0.00027 m/s² | LOW
37.91 Hz | ~0.00003 g | ~0.00031 m/s² | LOW
48.95 Hz | ~0.00003 g | ~0.00033 m/s² | LOW
83.69 Hz | ~0.00006 g | ~0.00061 m/s² | LOW
188.34 Hz | ~0.00002 g | ~0.00020 m/s² | LOW</t>
  </si>
  <si>
    <t>6.02 Hz | ~0.00031 g | ~0.00299 m/s² | MODERATE
16.04 Hz | ~0.00018 g | ~0.00180 m/s² | MODERATE
42.19 Hz | ~0.00020 g | ~0.00191 m/s² | MODERATE
46.47 Hz | ~0.00029 g | ~0.00288 m/s² | MODERATE
48.23 Hz | ~0.00029 g | ~0.00285 m/s² | MODERATE</t>
  </si>
  <si>
    <t>67.95 Hz | ~0.00019 g | ~0.00189 m/s² | MODERATE</t>
  </si>
  <si>
    <t>37.92 Hz | ~0.00004 g | ~0.00036 m/s² | LOW
48.94 Hz | ~0.00003 g | ~0.00028 m/s² | LOW
83.80 Hz | ~0.00005 g | ~0.00044 m/s² | LOW</t>
  </si>
  <si>
    <t>6.01 Hz | ~0.00016 g | ~0.00152 m/s² | MODERATE
16.05 Hz | ~0.00006 g | ~0.00058 m/s² | LOW
35.99 Hz | ~0.00007 g | ~0.00072 m/s² | LOW
39.96 Hz | ~0.00009 g | ~0.00090 m/s² | LOW
52.03 Hz | ~0.00011 g | ~0.00104 m/s² | MODERATE</t>
  </si>
  <si>
    <t>69.14 Hz | ~0.00017 g | ~0.00165 m/s² | MODERATE
131.22 Hz | ~0.00004 g | ~0.00037 m/s² | LOW
134.22 Hz | ~0.00004 g | ~0.00040 m/s² | LOW</t>
  </si>
  <si>
    <t>34.37 Hz | ~0.00003 g | ~0.00025 m/s² | LOW
37.87 Hz | ~0.00003 g | ~0.00026 m/s² | LOW
81.39 Hz | ~0.00003 g | ~0.00027 m/s² | LOW
83.81 Hz | ~0.00003 g | ~0.00026 m/s² | LOW
90.86 Hz | ~0.00003 g | ~0.00025 m/s² | LOW</t>
  </si>
  <si>
    <t>43.34 Hz | ~0.00006 g | ~0.00058 m/s² | LOW
44.02 Hz | ~0.00007 g | ~0.00064 m/s² | LOW
53.73 Hz | ~0.00005 g | ~0.00047 m/s² | LOW
148.01 Hz | ~0.00006 g | ~0.00059 m/s² | LOW</t>
  </si>
  <si>
    <t>17.76 Hz | ~0.00002 g | ~0.00021 m/s² | LOW
86.63 Hz | ~0.00003 g | ~0.00029 m/s² | LOW
86.90 Hz | ~0.00003 g | ~0.00024 m/s² | LOW
87.97 Hz | ~0.00003 g | ~0.00027 m/s² | LOW
88.24 Hz | ~0.00004 g | ~0.00034 m/s² | LOW
89.32 Hz | ~0.00003 g | ~0.00028 m/s² | LOW
185.36 Hz | ~0.00002 g | ~0.00022 m/s² | LOW</t>
  </si>
  <si>
    <t>2.79 Hz | ~0.00007 g | ~0.00067 m/s² | LOW
3.72 Hz | ~0.00004 g | ~0.00043 m/s² | LOW
87.35 Hz | ~0.00007 g | ~0.00065 m/s² | LOW
88.28 Hz | ~0.00008 g | ~0.00081 m/s² | LOW</t>
  </si>
  <si>
    <t>3.05 Hz | ~0.00036 g | ~0.00351 m/s² | MODERATE
4.58 Hz | ~0.00013 g | ~0.00124 m/s² | MODERATE
6.10 Hz | ~0.00008 g | ~0.00082 m/s² | LOW
88.46 Hz | ~0.00007 g | ~0.00067 m/s² | LOW
120.49 Hz | ~0.00004 g | ~0.00042 m/s² | LOW
186.07 Hz | ~0.00006 g | ~0.00060 m/s² | LOW
187.60 Hz | ~0.00007 g | ~0.00071 m/s² | LOW</t>
  </si>
  <si>
    <t>13.32 Hz | ~0.00005 g | ~0.00048 m/s² | LOW–MODERATE
80.01 Hz | ~0.00005 g | ~0.00046 m/s² | LOW
83.75 Hz | ~0.00003 g | ~0.00029 m/s² | LOW</t>
  </si>
  <si>
    <t>13.32 Hz | ~0.00276 g | ~0.02709 m/s² | HIGH
47.36 Hz | ~0.00002 g | ~0.00020 m/s² | LOW</t>
  </si>
  <si>
    <t>13.33 Hz | ~0.00019 g | ~0.00189 m/s² | MODERATE
47.39 Hz | ~0.00004 g | ~0.00040 m/s² | LOW
67.33 Hz | ~0.00012 g | ~0.00117 m/s² | MODERATE
113.72 Hz | ~0.00024 g | ~0.00238 m/s² | MODERATE
137.25 Hz | ~0.00004 g | ~0.00042 m/s² | LOW
163.92 Hz | ~0.00003 g | ~0.00030 m/s² | LOW</t>
  </si>
  <si>
    <t>67.52 Hz | ~0.00024 g | ~0.00236 m/s² | MODERATE
69.71 Hz | ~0.00038 g | ~0.00374 m/s² | MODERATE
70.08 Hz | ~0.00044 g | ~0.00426 m/s² | MODERATE</t>
  </si>
  <si>
    <t>31.95 Hz | ~0.00003 g | ~0.00028 m/s² | LOW
38.00 Hz | ~0.00003 g | ~0.00025 m/s² | LOW
39.01 Hz | ~0.00004 g | ~0.00034 m/s² | LOW
44.35 Hz | ~0.00006 g | ~0.00055 m/s² | LOW
47.37 Hz | ~0.00008 g | ~0.00078 m/s² | LOW
83.86 Hz | ~0.00003 g | ~0.00024 m/s² | LOW
137.48 Hz | ~0.00002 g | ~0.00022 m/s² | LOW</t>
  </si>
  <si>
    <t>1.06 Hz | ~0.00002 g | ~0.00023 m/s² | LOW
37.94 Hz | ~0.00002 g | ~0.00021 m/s² | LOW
83.68 Hz | ~0.00003 g | ~0.00033 m/s² | LOW
125.70 Hz | ~0.00004 g | ~0.00036 m/s² | LOW
188.46 Hz | ~0.00003 g | ~0.00032 m/s² | LOW</t>
  </si>
  <si>
    <t>69.14–69.61 Hz | ~0.00013 g | ~0.00125–0.00128 m/s² | MODERATE
100.31–100.32 Hz | ~0.00006–0.00007 g | ~0.00062–0.00064 m/s² | LOW</t>
  </si>
  <si>
    <t>83.62–83.63 Hz | ~0.00003–0.00004 g | ~0.00032–0.00037 m/s² | LOW
98.91–99.10 Hz | ~0.00003–0.00005 g | ~0.00025–0.00044 m/s² | LOW
101.95–102.15 Hz | ~0.00003–0.00006 g | ~0.00028–0.00063 m/s² | LOW</t>
  </si>
  <si>
    <t>100.80–101.01 Hz | ~0.00027–0.00031 g | ~0.00264–0.00308 m/s² | MODERATE
102.38–104.64 Hz | ~0.00013 g | ~0.00127–0.00128 m/s² | MODERATE</t>
  </si>
  <si>
    <t>47.41 Hz | ~0.00003 g | ~0.00027 m/s² | LOW
55.70–55.76 Hz | ~0.00003 g | ~0.00026–0.00028 m/s² | LOW
67.63–68.05 Hz | ~0.00010–0.00013 g | ~0.00097–0.00125 m/s² | MODERATE</t>
  </si>
  <si>
    <t>37.93 Hz | ~0.00002 g | ~0.00021 m/s² | LOW</t>
  </si>
  <si>
    <t>37.93–38.97 Hz | ~0.00003 g | ~0.00025–0.00034 m/s² | LOW
47.40–47.42 Hz | ~0.00003–0.00005 g | ~0.00027–0.00045 m/s² | LOW
55.09–55.12 Hz | ~0.00005 g | ~0.00047–0.00049 m/s² | LOW
99.76 Hz | ~0.00002 g | ~0.00022 m/s² | LOW</t>
  </si>
  <si>
    <t>37.89–37.90 Hz | ~0.00002–0.00003 g | ~0.00020–0.00027 m/s² | LOW</t>
  </si>
  <si>
    <t>47.89–47.90 Hz | ~0.00003–0.00004 g | ~0.00030–0.00040 m/s² | LOW
148.01 Hz | ~0.00005 g | ~0.00050 m/s² | LOW</t>
  </si>
  <si>
    <t>2.58–2.59 Hz | ~0.00002 g | ~0.00021–0.00023 m/s² | LOW
37.88 Hz | ~0.00002–0.00003 g | ~0.00022–0.00029 m/s² | LOW
83.66–83.67 Hz | ~0.00002–0.00004 g | ~0.00021–0.00037 m/s² | LOW</t>
  </si>
  <si>
    <t>48.05–48.12 Hz | ~0.00002–0.00003 g | ~0.00020–0.00028 m/s² | LOW
147.99 Hz | ~0.00004 g | ~0.00041 m/s² | LOW</t>
  </si>
  <si>
    <t>Sensor Location 1</t>
  </si>
  <si>
    <t>Sensor Location 2</t>
  </si>
  <si>
    <t>Sensor Location 3</t>
  </si>
  <si>
    <t>Moderate</t>
  </si>
  <si>
    <t>Low</t>
  </si>
  <si>
    <t>Operational Regime / Test ID</t>
  </si>
  <si>
    <t>Specific Test Condition</t>
  </si>
  <si>
    <t>Acceleration Amplitude (g)</t>
  </si>
  <si>
    <t>Severity Level</t>
  </si>
  <si>
    <t>I. Ambient Noise &amp; Baseline</t>
  </si>
  <si>
    <t>T2A (Set 1 &amp; 2)</t>
  </si>
  <si>
    <t>Static conditions (Axes un-energized, holding torque off)</t>
  </si>
  <si>
    <t>Azimuth Top</t>
  </si>
  <si>
    <t>Elevation Top</t>
  </si>
  <si>
    <t>Structural base excitation; minimal micro-seismic transmission.</t>
  </si>
  <si>
    <t>ID Center</t>
  </si>
  <si>
    <t>Instrument Derotator is well isolated when stationary.</t>
  </si>
  <si>
    <t>Azimuth axis impulse from left side center</t>
  </si>
  <si>
    <t>Elevation axis impulse from front center of EL ring</t>
  </si>
  <si>
    <t>Instrument Derotator support bar impulse</t>
  </si>
  <si>
    <t>Local structural flexure modes of the instrument mounting flange assembly.</t>
  </si>
  <si>
    <t>Structural response during deceleration/acceleration transient profiles.</t>
  </si>
  <si>
    <t>AZ Motor</t>
  </si>
  <si>
    <t>High-energy drive frequency harmonics under high load torque.</t>
  </si>
  <si>
    <t>T11 (Set 2)</t>
  </si>
  <si>
    <t>Mechanical imbalance or misalignment of the instrument rotator mechanism under full travel.</t>
  </si>
  <si>
    <t>IV. Auxiliary Disturbances</t>
  </si>
  <si>
    <t>T4 (Set 3 &amp; 4)</t>
  </si>
  <si>
    <t>Narrowband micro-vibrations induced by the coolant fluid pump/chiller compressor loop.</t>
  </si>
  <si>
    <t>T8 (Set 4, 5, 6)</t>
  </si>
  <si>
    <t>Dome tracking and slewing operations</t>
  </si>
  <si>
    <t>Dome Sensor</t>
  </si>
  <si>
    <t>Structural coupling between dome rail friction/rotation drive and telescope pier.</t>
  </si>
  <si>
    <t>T12 (Set 3, 4, 5)</t>
  </si>
  <si>
    <t>Elevation tracking loop active (East Object)</t>
  </si>
  <si>
    <t>High-frequency cogging torque or encoder sampling artifacts from the servo amplifier.</t>
  </si>
  <si>
    <t>T13 (Set 1 &amp; 2)</t>
  </si>
  <si>
    <t>Azimuth tracking loop active (South Object)</t>
  </si>
  <si>
    <t>Highly stable servo-loop response under standard tracking rates.</t>
  </si>
  <si>
    <t>99.70, 398.82, 498.52, 626.88</t>
  </si>
  <si>
    <t>0.00019 to 0.00053</t>
  </si>
  <si>
    <t>48.87, 99.71</t>
  </si>
  <si>
    <t>0.00020 to 0.00025</t>
  </si>
  <si>
    <t>99.71, 114.66, 192.80</t>
  </si>
  <si>
    <t>0.00035 to 0.00082</t>
  </si>
  <si>
    <t>5.60, 31.70, 48.86, 67.30</t>
  </si>
  <si>
    <t>0.00024 to 0.00044</t>
  </si>
  <si>
    <t>68.50, 99.71</t>
  </si>
  <si>
    <t>5.90, 48.85, 186.50</t>
  </si>
  <si>
    <t>0.00024 to 0.00032</t>
  </si>
  <si>
    <t>52.70, 55.30, 67.00</t>
  </si>
  <si>
    <t>0.00118 to 0.00349</t>
  </si>
  <si>
    <t>36.70, 45.20, 52.80</t>
  </si>
  <si>
    <t>0.00121 to 0.00233</t>
  </si>
  <si>
    <t>3.52, 46.67, 53.72, 67.65</t>
  </si>
  <si>
    <t>0.00248 to 0.00373</t>
  </si>
  <si>
    <t>53.74, 96.87, 147.06, 197.30</t>
  </si>
  <si>
    <t>0.00435 to 0.00824</t>
  </si>
  <si>
    <t>13.33, 67.33, 113.72</t>
  </si>
  <si>
    <t>0.00117 to 0.00238</t>
  </si>
  <si>
    <t>87.52 to 87.53</t>
  </si>
  <si>
    <t>0.00048 to 0.00088</t>
  </si>
  <si>
    <t>66.70, 99.73</t>
  </si>
  <si>
    <t>0.00030 to 0.00039</t>
  </si>
  <si>
    <t>6.02, 16.04, 42.19, 46.47</t>
  </si>
  <si>
    <t>0.00104 to 0.00299</t>
  </si>
  <si>
    <t>67.51 to 67.95</t>
  </si>
  <si>
    <t>0.00165 to 0.00251</t>
  </si>
  <si>
    <t>69.14 to 70.08</t>
  </si>
  <si>
    <t>0.00125 to 0.00426</t>
  </si>
  <si>
    <t>100.80, 102.38, 104.64</t>
  </si>
  <si>
    <t>0.00127 to 0.00308</t>
  </si>
  <si>
    <t>37.89, 83.66</t>
  </si>
  <si>
    <t>0.00020 to 0.00029</t>
  </si>
  <si>
    <t>2.0 x 10^-5 to 5.4 x 10^-5</t>
  </si>
  <si>
    <t>2.1 x 10^-5 to 2.6 x 10^-5</t>
  </si>
  <si>
    <t>3.6 x 10^-5 to 8.3 x 10^-5</t>
  </si>
  <si>
    <t>2.5 x 10^-5 to 4.5 x 10^-5</t>
  </si>
  <si>
    <t>3.7 x 10^-5</t>
  </si>
  <si>
    <t>6.0 x 10^-5</t>
  </si>
  <si>
    <t>2.5 x 10^-5 to 3.3 x 10^-5</t>
  </si>
  <si>
    <t>1.2 x 10^-4 to 3.6 x 10^-4</t>
  </si>
  <si>
    <t>1.2 x 10^-4 to 2.4 x 10^-4</t>
  </si>
  <si>
    <t>2.5 x 10^-4 to 3.8 x 10^-4</t>
  </si>
  <si>
    <t>4.4 x 10^-4 to 8.4 x 10^-4</t>
  </si>
  <si>
    <t>4.9 x 10^-5 to 9.0 x 10^-5</t>
  </si>
  <si>
    <t>3.0 x 10^-5 to 4.0 x 10^-5</t>
  </si>
  <si>
    <t>1.1 x 10^-4 to 3.1 x 10^-4</t>
  </si>
  <si>
    <t>1.7 x 10^-4 to 2.6 x 10^-4</t>
  </si>
  <si>
    <t>1.3 x 10^-4 to 4.4 x 10^-4</t>
  </si>
  <si>
    <t>1.3 x 10^-4 to 3.1 x 10^-4</t>
  </si>
  <si>
    <t>2.0 x 10^-5 to 3.0 x 10^-5</t>
  </si>
  <si>
    <t>1.5 x 10^-4</t>
  </si>
  <si>
    <t>2.76 x 10^-3</t>
  </si>
  <si>
    <t>Instrument Derotator Slew (360deg)</t>
  </si>
  <si>
    <t>Elevation Slew (80deg to  25deg to  80deg)</t>
  </si>
  <si>
    <t>Azimuth Slew (90deg to  180deg to  90deg)</t>
  </si>
  <si>
    <t>N/A</t>
  </si>
  <si>
    <t>Key Azimuth Natural Structural Mode excited at 67.6 Hz. Higher bands represent local compliance.</t>
  </si>
  <si>
    <t>Cross-axis coupling reveals a fundamental rigid body pendulum mode at 5.60 Hz.</t>
  </si>
  <si>
    <t>Low-frequency rigid body mode (3.52 Hz) dynamically excited during high-speed slew.</t>
  </si>
  <si>
    <t>Critical Imbalance Resonant Signature: Significant energy injection at 13.32 Hz transferring directly into the elevation top structure.</t>
  </si>
  <si>
    <t>67.52  to  68.05</t>
  </si>
  <si>
    <t>1.0 x 10^-4  to  2.4 x 10^-4</t>
  </si>
  <si>
    <t>0.00097  to  0.00236</t>
  </si>
  <si>
    <t>Tracking Control Loop Interaction: Excitation of the telescope structural frame near the 67-68 Hz natural mode.</t>
  </si>
  <si>
    <t>III. Operational Slewing (Axis Large Motion Travel)</t>
  </si>
  <si>
    <t>II. Modal Characterization (Hammer Impulse Tests)</t>
  </si>
  <si>
    <t>Linear Metric (m/s^2)</t>
  </si>
  <si>
    <t>Origin &amp; Structural Insights</t>
  </si>
  <si>
    <t>Motor drive dynamics/gear-mesh signature during active fast travel.</t>
  </si>
  <si>
    <t>Holding torque engaged; Chiller in operational states</t>
  </si>
  <si>
    <t>V. Tracking Mode (same as on-sky performance)</t>
  </si>
  <si>
    <t>Confirmation of the Low-frequency structural rocking/pendulum mode near 5.6 Hz.</t>
  </si>
  <si>
    <t>Moderate-Low</t>
  </si>
  <si>
    <t>High</t>
  </si>
  <si>
    <t>High-frequency baseline electronic/mains harmonics and ambient facility noise.</t>
  </si>
  <si>
    <t>Human activity on telescope observation floor &amp; staircase</t>
  </si>
  <si>
    <t>Transient environment floor transmission; well isolated by the telescope pier.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</si>
</sst>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color rgb="FF1F1F1F"/>
      <name val="Arial"/>
      <family val="2"/>
    </font>
    <font>
      <sz val="12"/>
      <color rgb="FF1F1F1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5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2" xfId="0" applyFont="1" applyBorder="1"/>
    <xf numFmtId="0" fontId="0" fillId="0" borderId="2" xfId="0" applyBorder="1" applyAlignment="1">
      <alignment wrapText="1"/>
    </xf>
    <xf numFmtId="0" fontId="0" fillId="2" borderId="2" xfId="0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0" fillId="3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8" xfId="0" applyFont="1" applyBorder="1"/>
    <xf numFmtId="0" fontId="5" fillId="0" borderId="9" xfId="0" applyFont="1" applyBorder="1"/>
    <xf numFmtId="0" fontId="5" fillId="0" borderId="9" xfId="0" applyFont="1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3" fillId="0" borderId="3" xfId="0" applyFont="1" applyBorder="1"/>
    <xf numFmtId="0" fontId="0" fillId="0" borderId="3" xfId="0" applyBorder="1" applyAlignment="1">
      <alignment wrapText="1"/>
    </xf>
    <xf numFmtId="0" fontId="1" fillId="0" borderId="19" xfId="0" applyFont="1" applyBorder="1"/>
    <xf numFmtId="0" fontId="1" fillId="0" borderId="0" xfId="0" applyFont="1" applyBorder="1"/>
    <xf numFmtId="0" fontId="1" fillId="2" borderId="8" xfId="0" applyFont="1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0" fillId="6" borderId="8" xfId="0" applyFill="1" applyBorder="1" applyAlignment="1">
      <alignment wrapText="1"/>
    </xf>
    <xf numFmtId="0" fontId="2" fillId="3" borderId="8" xfId="0" applyFont="1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4" fillId="2" borderId="8" xfId="0" applyFont="1" applyFill="1" applyBorder="1" applyAlignment="1">
      <alignment wrapText="1"/>
    </xf>
    <xf numFmtId="0" fontId="0" fillId="2" borderId="10" xfId="0" applyFill="1" applyBorder="1" applyAlignment="1">
      <alignment wrapText="1"/>
    </xf>
    <xf numFmtId="0" fontId="0" fillId="2" borderId="11" xfId="0" applyFill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3" xfId="0" applyBorder="1"/>
    <xf numFmtId="0" fontId="4" fillId="0" borderId="3" xfId="0" applyFont="1" applyBorder="1" applyAlignment="1">
      <alignment wrapText="1"/>
    </xf>
    <xf numFmtId="0" fontId="0" fillId="0" borderId="21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8" xfId="0" applyBorder="1"/>
    <xf numFmtId="0" fontId="0" fillId="0" borderId="9" xfId="0" applyBorder="1"/>
    <xf numFmtId="0" fontId="4" fillId="0" borderId="8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21" xfId="0" applyBorder="1"/>
    <xf numFmtId="0" fontId="0" fillId="0" borderId="18" xfId="0" applyBorder="1"/>
    <xf numFmtId="0" fontId="0" fillId="0" borderId="10" xfId="0" applyBorder="1"/>
    <xf numFmtId="0" fontId="0" fillId="4" borderId="11" xfId="0" applyFill="1" applyBorder="1"/>
    <xf numFmtId="0" fontId="0" fillId="2" borderId="23" xfId="0" applyFill="1" applyBorder="1"/>
    <xf numFmtId="0" fontId="2" fillId="3" borderId="23" xfId="0" applyFont="1" applyFill="1" applyBorder="1" applyAlignment="1">
      <alignment wrapText="1"/>
    </xf>
    <xf numFmtId="0" fontId="0" fillId="6" borderId="23" xfId="0" applyFill="1" applyBorder="1" applyAlignment="1">
      <alignment wrapText="1"/>
    </xf>
    <xf numFmtId="0" fontId="3" fillId="0" borderId="24" xfId="0" applyFont="1" applyBorder="1"/>
    <xf numFmtId="0" fontId="3" fillId="0" borderId="22" xfId="0" applyFont="1" applyBorder="1"/>
    <xf numFmtId="0" fontId="0" fillId="2" borderId="4" xfId="0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0" fillId="0" borderId="27" xfId="0" applyBorder="1" applyAlignment="1">
      <alignment wrapText="1"/>
    </xf>
    <xf numFmtId="0" fontId="0" fillId="0" borderId="25" xfId="0" applyBorder="1"/>
    <xf numFmtId="0" fontId="0" fillId="0" borderId="26" xfId="0" applyBorder="1"/>
    <xf numFmtId="0" fontId="0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6" fillId="0" borderId="28" xfId="0" applyFont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left" vertical="center" wrapText="1" indent="1" readingOrder="1"/>
    </xf>
    <xf numFmtId="0" fontId="7" fillId="0" borderId="28" xfId="0" applyFont="1" applyBorder="1" applyAlignment="1">
      <alignment horizontal="left" vertical="center" wrapText="1" indent="1" readingOrder="1"/>
    </xf>
    <xf numFmtId="0" fontId="7" fillId="0" borderId="28" xfId="0" applyFont="1" applyBorder="1" applyAlignment="1">
      <alignment horizontal="center" vertical="center" wrapText="1" readingOrder="1"/>
    </xf>
    <xf numFmtId="0" fontId="7" fillId="0" borderId="29" xfId="0" applyFont="1" applyBorder="1" applyAlignment="1">
      <alignment horizontal="left" vertical="center" wrapText="1" indent="1" readingOrder="1"/>
    </xf>
    <xf numFmtId="0" fontId="7" fillId="0" borderId="30" xfId="0" applyFont="1" applyBorder="1" applyAlignment="1">
      <alignment horizontal="left" vertical="center" wrapText="1" indent="1" readingOrder="1"/>
    </xf>
    <xf numFmtId="0" fontId="6" fillId="0" borderId="28" xfId="0" applyFont="1" applyBorder="1" applyAlignment="1">
      <alignment horizontal="left" vertical="center" wrapText="1" readingOrder="1"/>
    </xf>
    <xf numFmtId="0" fontId="7" fillId="0" borderId="28" xfId="0" applyFont="1" applyBorder="1" applyAlignment="1">
      <alignment horizontal="left" vertical="center" wrapText="1" readingOrder="1"/>
    </xf>
    <xf numFmtId="0" fontId="7" fillId="0" borderId="29" xfId="0" applyFont="1" applyBorder="1" applyAlignment="1">
      <alignment horizontal="left" vertical="center" wrapText="1" readingOrder="1"/>
    </xf>
    <xf numFmtId="0" fontId="7" fillId="0" borderId="30" xfId="0" applyFont="1" applyBorder="1" applyAlignment="1">
      <alignment horizontal="left" vertical="center" wrapText="1" readingOrder="1"/>
    </xf>
    <xf numFmtId="0" fontId="0" fillId="0" borderId="0" xfId="0" applyAlignment="1">
      <alignment horizontal="left" readingOrder="1"/>
    </xf>
    <xf numFmtId="0" fontId="6" fillId="0" borderId="31" xfId="0" applyFont="1" applyBorder="1" applyAlignment="1">
      <alignment horizontal="center" vertical="center" wrapText="1" readingOrder="1"/>
    </xf>
    <xf numFmtId="0" fontId="6" fillId="0" borderId="32" xfId="0" applyFont="1" applyBorder="1" applyAlignment="1">
      <alignment horizontal="center" vertical="center" wrapText="1" readingOrder="1"/>
    </xf>
    <xf numFmtId="0" fontId="6" fillId="0" borderId="33" xfId="0" applyFont="1" applyBorder="1" applyAlignment="1">
      <alignment horizontal="center" vertical="center" wrapText="1" readingOrder="1"/>
    </xf>
    <xf numFmtId="0" fontId="3" fillId="0" borderId="21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7" fillId="0" borderId="29" xfId="0" applyFont="1" applyBorder="1" applyAlignment="1">
      <alignment horizontal="center" vertical="center" wrapText="1" readingOrder="1"/>
    </xf>
    <xf numFmtId="0" fontId="7" fillId="0" borderId="30" xfId="0" applyFont="1" applyBorder="1" applyAlignment="1">
      <alignment horizontal="center" vertical="center" wrapText="1" readingOrder="1"/>
    </xf>
    <xf numFmtId="0" fontId="6" fillId="0" borderId="29" xfId="0" applyFont="1" applyBorder="1" applyAlignment="1">
      <alignment horizontal="center" vertical="center" wrapText="1" readingOrder="1"/>
    </xf>
    <xf numFmtId="0" fontId="6" fillId="0" borderId="30" xfId="0" applyFont="1" applyBorder="1" applyAlignment="1">
      <alignment horizontal="center" vertical="center" wrapText="1" readingOrder="1"/>
    </xf>
    <xf numFmtId="0" fontId="6" fillId="0" borderId="29" xfId="0" applyFont="1" applyBorder="1" applyAlignment="1">
      <alignment horizontal="center" vertical="center" readingOrder="1"/>
    </xf>
    <xf numFmtId="0" fontId="6" fillId="0" borderId="30" xfId="0" applyFont="1" applyBorder="1" applyAlignment="1">
      <alignment horizontal="center" vertical="center" readingOrder="1"/>
    </xf>
    <xf numFmtId="0" fontId="7" fillId="0" borderId="29" xfId="0" applyFont="1" applyBorder="1" applyAlignment="1">
      <alignment horizontal="left" vertical="center" wrapText="1" readingOrder="1"/>
    </xf>
    <xf numFmtId="0" fontId="7" fillId="0" borderId="30" xfId="0" applyFont="1" applyBorder="1" applyAlignment="1">
      <alignment horizontal="left" vertical="center" wrapText="1" readingOrder="1"/>
    </xf>
    <xf numFmtId="0" fontId="6" fillId="0" borderId="31" xfId="0" applyFont="1" applyBorder="1" applyAlignment="1">
      <alignment horizontal="center" vertical="center" wrapText="1" readingOrder="1"/>
    </xf>
    <xf numFmtId="0" fontId="6" fillId="0" borderId="32" xfId="0" applyFont="1" applyBorder="1" applyAlignment="1">
      <alignment horizontal="center" vertical="center" wrapText="1" readingOrder="1"/>
    </xf>
    <xf numFmtId="0" fontId="6" fillId="0" borderId="33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52"/>
  <sheetViews>
    <sheetView tabSelected="1" zoomScale="40" zoomScaleNormal="40" workbookViewId="0">
      <selection activeCell="D12" sqref="D12"/>
    </sheetView>
  </sheetViews>
  <sheetFormatPr defaultRowHeight="14.4" x14ac:dyDescent="0.3"/>
  <cols>
    <col min="4" max="4" width="24.109375" customWidth="1"/>
    <col min="5" max="5" width="46.5546875" customWidth="1"/>
    <col min="6" max="6" width="47.88671875" customWidth="1"/>
    <col min="7" max="7" width="57.33203125" customWidth="1"/>
    <col min="8" max="8" width="9.5546875" customWidth="1"/>
    <col min="9" max="13" width="12.44140625" customWidth="1"/>
    <col min="14" max="14" width="10.6640625" customWidth="1"/>
    <col min="15" max="15" width="15.109375" customWidth="1"/>
    <col min="16" max="16" width="11.44140625" customWidth="1"/>
    <col min="17" max="17" width="14" customWidth="1"/>
    <col min="18" max="18" width="44.6640625" customWidth="1"/>
    <col min="19" max="19" width="19" customWidth="1"/>
    <col min="20" max="20" width="13.5546875" customWidth="1"/>
  </cols>
  <sheetData>
    <row r="1" spans="2:15" ht="15" thickBot="1" x14ac:dyDescent="0.35">
      <c r="I1" s="23"/>
      <c r="J1" s="63" t="s">
        <v>11</v>
      </c>
      <c r="K1" s="64" t="s">
        <v>18</v>
      </c>
      <c r="L1" s="65" t="s">
        <v>17</v>
      </c>
      <c r="M1" s="24"/>
      <c r="N1" s="24"/>
      <c r="O1" s="25"/>
    </row>
    <row r="2" spans="2:15" s="2" customFormat="1" ht="18.600000000000001" thickBot="1" x14ac:dyDescent="0.4">
      <c r="B2" s="3" t="s">
        <v>92</v>
      </c>
      <c r="C2" s="3" t="s">
        <v>93</v>
      </c>
      <c r="D2" s="11" t="s">
        <v>20</v>
      </c>
      <c r="E2" s="92" t="s">
        <v>102</v>
      </c>
      <c r="F2" s="93"/>
      <c r="G2" s="94"/>
      <c r="H2" s="34"/>
      <c r="I2" s="90" t="s">
        <v>99</v>
      </c>
      <c r="J2" s="91"/>
      <c r="K2" s="91"/>
      <c r="L2" s="91"/>
      <c r="M2" s="91"/>
      <c r="N2" s="66" t="s">
        <v>94</v>
      </c>
      <c r="O2" s="67" t="s">
        <v>95</v>
      </c>
    </row>
    <row r="3" spans="2:15" x14ac:dyDescent="0.3">
      <c r="I3" s="36" t="s">
        <v>12</v>
      </c>
      <c r="J3" s="37" t="s">
        <v>13</v>
      </c>
      <c r="K3" s="37" t="s">
        <v>14</v>
      </c>
      <c r="L3" s="37" t="s">
        <v>15</v>
      </c>
      <c r="M3" s="37" t="s">
        <v>16</v>
      </c>
      <c r="N3" s="37" t="s">
        <v>107</v>
      </c>
      <c r="O3" s="27"/>
    </row>
    <row r="4" spans="2:15" ht="15" thickBot="1" x14ac:dyDescent="0.35">
      <c r="D4" t="s">
        <v>96</v>
      </c>
      <c r="I4" s="36" t="s">
        <v>23</v>
      </c>
      <c r="J4" s="37" t="s">
        <v>24</v>
      </c>
      <c r="K4" s="37" t="s">
        <v>25</v>
      </c>
      <c r="L4" s="37" t="s">
        <v>26</v>
      </c>
      <c r="M4" s="37" t="s">
        <v>27</v>
      </c>
      <c r="N4" s="37" t="s">
        <v>97</v>
      </c>
      <c r="O4" s="27"/>
    </row>
    <row r="5" spans="2:15" ht="15" thickBot="1" x14ac:dyDescent="0.35">
      <c r="E5" s="23" t="s">
        <v>170</v>
      </c>
      <c r="F5" s="24" t="s">
        <v>171</v>
      </c>
      <c r="G5" s="25" t="s">
        <v>172</v>
      </c>
      <c r="I5" s="71"/>
      <c r="J5" s="72"/>
      <c r="K5" s="72"/>
      <c r="L5" s="72"/>
      <c r="M5" s="72"/>
      <c r="N5" s="72"/>
      <c r="O5" s="47"/>
    </row>
    <row r="6" spans="2:15" x14ac:dyDescent="0.3">
      <c r="B6" s="59" t="s">
        <v>0</v>
      </c>
      <c r="C6" s="60"/>
      <c r="D6" s="52" t="s">
        <v>21</v>
      </c>
      <c r="E6" s="50"/>
      <c r="F6" s="51"/>
      <c r="G6" s="52"/>
      <c r="H6" s="35"/>
      <c r="I6" s="32" t="s">
        <v>19</v>
      </c>
      <c r="J6" s="22" t="s">
        <v>19</v>
      </c>
      <c r="K6" s="22" t="s">
        <v>19</v>
      </c>
      <c r="L6" s="68" t="s">
        <v>11</v>
      </c>
      <c r="M6" s="69" t="s">
        <v>11</v>
      </c>
      <c r="N6" s="70"/>
      <c r="O6" s="33"/>
    </row>
    <row r="7" spans="2:15" ht="43.2" x14ac:dyDescent="0.3">
      <c r="B7" s="53" t="s">
        <v>4</v>
      </c>
      <c r="C7" s="4" t="s">
        <v>1</v>
      </c>
      <c r="D7" s="27" t="s">
        <v>22</v>
      </c>
      <c r="E7" s="26" t="s">
        <v>109</v>
      </c>
      <c r="F7" s="5" t="s">
        <v>110</v>
      </c>
      <c r="G7" s="27" t="s">
        <v>106</v>
      </c>
      <c r="H7" s="35"/>
      <c r="I7" s="38" t="s">
        <v>103</v>
      </c>
      <c r="J7" s="14" t="s">
        <v>104</v>
      </c>
      <c r="K7" s="14" t="s">
        <v>105</v>
      </c>
      <c r="L7" s="5" t="s">
        <v>19</v>
      </c>
      <c r="M7" s="5" t="s">
        <v>19</v>
      </c>
      <c r="N7" s="12"/>
      <c r="O7" s="27"/>
    </row>
    <row r="8" spans="2:15" ht="43.2" x14ac:dyDescent="0.3">
      <c r="B8" s="53"/>
      <c r="C8" s="4" t="s">
        <v>2</v>
      </c>
      <c r="D8" s="27" t="s">
        <v>22</v>
      </c>
      <c r="E8" s="26" t="s">
        <v>111</v>
      </c>
      <c r="F8" s="5" t="s">
        <v>108</v>
      </c>
      <c r="G8" s="27" t="s">
        <v>106</v>
      </c>
      <c r="H8" s="35"/>
      <c r="I8" s="38" t="s">
        <v>11</v>
      </c>
      <c r="J8" s="14" t="s">
        <v>11</v>
      </c>
      <c r="K8" s="14" t="s">
        <v>11</v>
      </c>
      <c r="L8" s="5" t="s">
        <v>19</v>
      </c>
      <c r="M8" s="5" t="s">
        <v>19</v>
      </c>
      <c r="N8" s="12"/>
      <c r="O8" s="27" t="s">
        <v>98</v>
      </c>
    </row>
    <row r="9" spans="2:15" ht="72" x14ac:dyDescent="0.3">
      <c r="B9" s="53" t="s">
        <v>5</v>
      </c>
      <c r="C9" s="4"/>
      <c r="D9" s="27" t="s">
        <v>28</v>
      </c>
      <c r="E9" s="26" t="s">
        <v>112</v>
      </c>
      <c r="F9" s="5" t="s">
        <v>113</v>
      </c>
      <c r="G9" s="27" t="s">
        <v>114</v>
      </c>
      <c r="H9" s="35"/>
      <c r="I9" s="39" t="s">
        <v>11</v>
      </c>
      <c r="J9" s="8" t="s">
        <v>11</v>
      </c>
      <c r="K9" s="8" t="s">
        <v>11</v>
      </c>
      <c r="L9" s="5" t="s">
        <v>19</v>
      </c>
      <c r="M9" s="5" t="s">
        <v>19</v>
      </c>
      <c r="N9" s="12"/>
      <c r="O9" s="27"/>
    </row>
    <row r="10" spans="2:15" ht="28.8" x14ac:dyDescent="0.3">
      <c r="B10" s="53" t="s">
        <v>6</v>
      </c>
      <c r="C10" s="4"/>
      <c r="D10" s="27" t="s">
        <v>29</v>
      </c>
      <c r="E10" s="28" t="s">
        <v>115</v>
      </c>
      <c r="F10" s="5" t="s">
        <v>116</v>
      </c>
      <c r="G10" s="27" t="s">
        <v>117</v>
      </c>
      <c r="H10" s="35"/>
      <c r="I10" s="40" t="s">
        <v>17</v>
      </c>
      <c r="J10" s="8" t="s">
        <v>11</v>
      </c>
      <c r="K10" s="8" t="s">
        <v>11</v>
      </c>
      <c r="L10" s="5" t="s">
        <v>19</v>
      </c>
      <c r="M10" s="5" t="s">
        <v>19</v>
      </c>
      <c r="N10" s="12"/>
      <c r="O10" s="27"/>
    </row>
    <row r="11" spans="2:15" ht="43.2" x14ac:dyDescent="0.3">
      <c r="B11" s="53" t="s">
        <v>7</v>
      </c>
      <c r="C11" s="4"/>
      <c r="D11" s="27" t="s">
        <v>30</v>
      </c>
      <c r="E11" s="28" t="s">
        <v>118</v>
      </c>
      <c r="F11" s="5" t="s">
        <v>119</v>
      </c>
      <c r="G11" s="27" t="s">
        <v>120</v>
      </c>
      <c r="H11" s="35"/>
      <c r="I11" s="40" t="s">
        <v>17</v>
      </c>
      <c r="J11" s="8" t="s">
        <v>11</v>
      </c>
      <c r="K11" s="8" t="s">
        <v>11</v>
      </c>
      <c r="L11" s="5" t="s">
        <v>19</v>
      </c>
      <c r="M11" s="5" t="s">
        <v>19</v>
      </c>
      <c r="N11" s="12"/>
      <c r="O11" s="27"/>
    </row>
    <row r="12" spans="2:15" ht="100.8" x14ac:dyDescent="0.3">
      <c r="B12" s="53" t="s">
        <v>3</v>
      </c>
      <c r="C12" s="4" t="s">
        <v>42</v>
      </c>
      <c r="D12" s="27" t="s">
        <v>31</v>
      </c>
      <c r="E12" s="29" t="s">
        <v>121</v>
      </c>
      <c r="F12" s="19" t="s">
        <v>121</v>
      </c>
      <c r="G12" s="30" t="s">
        <v>121</v>
      </c>
      <c r="H12" s="35"/>
      <c r="I12" s="41" t="s">
        <v>18</v>
      </c>
      <c r="J12" s="9" t="s">
        <v>18</v>
      </c>
      <c r="K12" s="5" t="s">
        <v>19</v>
      </c>
      <c r="L12" s="9" t="s">
        <v>18</v>
      </c>
      <c r="M12" s="5" t="s">
        <v>19</v>
      </c>
      <c r="N12" s="12" t="s">
        <v>41</v>
      </c>
      <c r="O12" s="27"/>
    </row>
    <row r="13" spans="2:15" ht="100.8" x14ac:dyDescent="0.3">
      <c r="B13" s="53"/>
      <c r="C13" s="4" t="s">
        <v>43</v>
      </c>
      <c r="D13" s="27" t="s">
        <v>31</v>
      </c>
      <c r="E13" s="26" t="s">
        <v>122</v>
      </c>
      <c r="F13" s="5" t="s">
        <v>123</v>
      </c>
      <c r="G13" s="27" t="s">
        <v>124</v>
      </c>
      <c r="H13" s="35"/>
      <c r="I13" s="39">
        <v>213221</v>
      </c>
      <c r="J13" s="8">
        <v>213223</v>
      </c>
      <c r="K13" s="8">
        <v>213225</v>
      </c>
      <c r="L13" s="5" t="s">
        <v>19</v>
      </c>
      <c r="M13" s="5" t="s">
        <v>19</v>
      </c>
      <c r="N13" s="12" t="s">
        <v>45</v>
      </c>
      <c r="O13" s="27" t="s">
        <v>46</v>
      </c>
    </row>
    <row r="14" spans="2:15" ht="43.2" x14ac:dyDescent="0.3">
      <c r="B14" s="53" t="s">
        <v>8</v>
      </c>
      <c r="C14" s="4" t="s">
        <v>1</v>
      </c>
      <c r="D14" s="27" t="s">
        <v>32</v>
      </c>
      <c r="E14" s="29" t="s">
        <v>121</v>
      </c>
      <c r="F14" s="19" t="s">
        <v>121</v>
      </c>
      <c r="G14" s="30" t="s">
        <v>121</v>
      </c>
      <c r="H14" s="35"/>
      <c r="I14" s="39" t="s">
        <v>11</v>
      </c>
      <c r="J14" s="9" t="s">
        <v>18</v>
      </c>
      <c r="K14" s="5" t="s">
        <v>19</v>
      </c>
      <c r="L14" s="8" t="s">
        <v>11</v>
      </c>
      <c r="M14" s="5" t="s">
        <v>19</v>
      </c>
      <c r="N14" s="12" t="s">
        <v>41</v>
      </c>
      <c r="O14" s="27"/>
    </row>
    <row r="15" spans="2:15" ht="43.2" x14ac:dyDescent="0.3">
      <c r="B15" s="53"/>
      <c r="C15" s="4" t="s">
        <v>2</v>
      </c>
      <c r="D15" s="27" t="s">
        <v>32</v>
      </c>
      <c r="E15" s="29" t="s">
        <v>121</v>
      </c>
      <c r="F15" s="19" t="s">
        <v>121</v>
      </c>
      <c r="G15" s="30" t="s">
        <v>121</v>
      </c>
      <c r="H15" s="35"/>
      <c r="I15" s="39" t="s">
        <v>11</v>
      </c>
      <c r="J15" s="9" t="s">
        <v>18</v>
      </c>
      <c r="K15" s="5" t="s">
        <v>19</v>
      </c>
      <c r="L15" s="8" t="s">
        <v>11</v>
      </c>
      <c r="M15" s="5" t="s">
        <v>19</v>
      </c>
      <c r="N15" s="12" t="s">
        <v>41</v>
      </c>
      <c r="O15" s="27"/>
    </row>
    <row r="16" spans="2:15" ht="57.6" x14ac:dyDescent="0.3">
      <c r="B16" s="53"/>
      <c r="C16" s="4" t="s">
        <v>44</v>
      </c>
      <c r="D16" s="27" t="s">
        <v>49</v>
      </c>
      <c r="E16" s="26" t="s">
        <v>125</v>
      </c>
      <c r="F16" s="5" t="s">
        <v>126</v>
      </c>
      <c r="G16" s="27" t="s">
        <v>127</v>
      </c>
      <c r="H16" s="35"/>
      <c r="I16" s="39">
        <v>213615</v>
      </c>
      <c r="J16" s="8">
        <v>213617</v>
      </c>
      <c r="K16" s="8">
        <v>213618</v>
      </c>
      <c r="L16" s="5" t="s">
        <v>19</v>
      </c>
      <c r="M16" s="5" t="s">
        <v>19</v>
      </c>
      <c r="N16" s="12" t="s">
        <v>45</v>
      </c>
      <c r="O16" s="27" t="s">
        <v>40</v>
      </c>
    </row>
    <row r="17" spans="2:27" ht="57.6" x14ac:dyDescent="0.3">
      <c r="B17" s="53"/>
      <c r="C17" s="4" t="s">
        <v>47</v>
      </c>
      <c r="D17" s="27" t="s">
        <v>50</v>
      </c>
      <c r="E17" s="28" t="s">
        <v>128</v>
      </c>
      <c r="F17" s="18" t="s">
        <v>129</v>
      </c>
      <c r="G17" s="31" t="s">
        <v>130</v>
      </c>
      <c r="H17" s="35"/>
      <c r="I17" s="39">
        <v>214004</v>
      </c>
      <c r="J17" s="8">
        <v>214005</v>
      </c>
      <c r="K17" s="8">
        <v>214007</v>
      </c>
      <c r="L17" s="5" t="s">
        <v>19</v>
      </c>
      <c r="M17" s="5" t="s">
        <v>19</v>
      </c>
      <c r="N17" s="12"/>
      <c r="O17" s="27" t="s">
        <v>48</v>
      </c>
    </row>
    <row r="18" spans="2:27" ht="57.6" x14ac:dyDescent="0.3">
      <c r="B18" s="53" t="s">
        <v>9</v>
      </c>
      <c r="C18" s="4"/>
      <c r="D18" s="27" t="s">
        <v>51</v>
      </c>
      <c r="E18" s="26" t="s">
        <v>131</v>
      </c>
      <c r="F18" s="5" t="s">
        <v>132</v>
      </c>
      <c r="G18" s="27" t="s">
        <v>133</v>
      </c>
      <c r="H18" s="35"/>
      <c r="I18" s="39" t="s">
        <v>11</v>
      </c>
      <c r="J18" s="8" t="s">
        <v>11</v>
      </c>
      <c r="K18" s="5" t="s">
        <v>19</v>
      </c>
      <c r="L18" s="8" t="s">
        <v>11</v>
      </c>
      <c r="M18" s="5" t="s">
        <v>19</v>
      </c>
      <c r="N18" s="12"/>
      <c r="O18" s="27"/>
    </row>
    <row r="19" spans="2:27" ht="57.6" x14ac:dyDescent="0.3">
      <c r="B19" s="53" t="s">
        <v>10</v>
      </c>
      <c r="C19" s="4"/>
      <c r="D19" s="27" t="s">
        <v>33</v>
      </c>
      <c r="E19" s="26" t="s">
        <v>134</v>
      </c>
      <c r="F19" s="5" t="s">
        <v>135</v>
      </c>
      <c r="G19" s="27" t="s">
        <v>136</v>
      </c>
      <c r="H19" s="35"/>
      <c r="I19" s="39" t="s">
        <v>11</v>
      </c>
      <c r="J19" s="8" t="s">
        <v>11</v>
      </c>
      <c r="K19" s="5" t="s">
        <v>19</v>
      </c>
      <c r="L19" s="5" t="s">
        <v>19</v>
      </c>
      <c r="M19" s="8" t="s">
        <v>11</v>
      </c>
      <c r="N19" s="12"/>
      <c r="O19" s="27"/>
    </row>
    <row r="20" spans="2:27" ht="57.6" x14ac:dyDescent="0.3">
      <c r="B20" s="53" t="s">
        <v>34</v>
      </c>
      <c r="C20" s="4"/>
      <c r="D20" s="27" t="s">
        <v>38</v>
      </c>
      <c r="E20" s="26" t="s">
        <v>137</v>
      </c>
      <c r="F20" s="5" t="s">
        <v>138</v>
      </c>
      <c r="G20" s="27" t="s">
        <v>106</v>
      </c>
      <c r="H20" s="35"/>
      <c r="I20" s="39" t="s">
        <v>11</v>
      </c>
      <c r="J20" s="8" t="s">
        <v>11</v>
      </c>
      <c r="K20" s="5" t="s">
        <v>19</v>
      </c>
      <c r="L20" s="5" t="s">
        <v>19</v>
      </c>
      <c r="M20" s="8" t="s">
        <v>11</v>
      </c>
      <c r="N20" s="12"/>
      <c r="O20" s="27"/>
    </row>
    <row r="21" spans="2:27" ht="43.2" x14ac:dyDescent="0.3">
      <c r="B21" s="53" t="s">
        <v>35</v>
      </c>
      <c r="C21" s="4" t="s">
        <v>42</v>
      </c>
      <c r="D21" s="27" t="s">
        <v>61</v>
      </c>
      <c r="E21" s="29" t="s">
        <v>121</v>
      </c>
      <c r="F21" s="19" t="s">
        <v>121</v>
      </c>
      <c r="G21" s="30" t="s">
        <v>121</v>
      </c>
      <c r="H21" s="35"/>
      <c r="I21" s="42">
        <v>215258</v>
      </c>
      <c r="J21" s="20">
        <v>215259</v>
      </c>
      <c r="K21" s="20">
        <v>215300</v>
      </c>
      <c r="L21" s="5" t="s">
        <v>19</v>
      </c>
      <c r="M21" s="5" t="s">
        <v>19</v>
      </c>
      <c r="N21" s="12"/>
      <c r="O21" s="27" t="s">
        <v>54</v>
      </c>
    </row>
    <row r="22" spans="2:27" ht="43.2" x14ac:dyDescent="0.3">
      <c r="B22" s="53"/>
      <c r="C22" s="4" t="s">
        <v>43</v>
      </c>
      <c r="D22" s="27" t="s">
        <v>61</v>
      </c>
      <c r="E22" s="29" t="s">
        <v>121</v>
      </c>
      <c r="F22" s="19" t="s">
        <v>121</v>
      </c>
      <c r="G22" s="30" t="s">
        <v>121</v>
      </c>
      <c r="H22" s="35"/>
      <c r="I22" s="42">
        <v>221609</v>
      </c>
      <c r="J22" s="20">
        <v>221611</v>
      </c>
      <c r="K22" s="20">
        <v>221612</v>
      </c>
      <c r="L22" s="5" t="s">
        <v>19</v>
      </c>
      <c r="M22" s="5" t="s">
        <v>19</v>
      </c>
      <c r="N22" s="12"/>
      <c r="O22" s="27" t="s">
        <v>65</v>
      </c>
    </row>
    <row r="23" spans="2:27" ht="100.8" x14ac:dyDescent="0.3">
      <c r="B23" s="53"/>
      <c r="C23" s="6" t="s">
        <v>66</v>
      </c>
      <c r="D23" s="27" t="s">
        <v>64</v>
      </c>
      <c r="E23" s="29" t="s">
        <v>121</v>
      </c>
      <c r="F23" s="19" t="s">
        <v>121</v>
      </c>
      <c r="G23" s="30" t="s">
        <v>121</v>
      </c>
      <c r="H23" s="35"/>
      <c r="I23" s="42">
        <v>222624</v>
      </c>
      <c r="J23" s="20">
        <v>222625</v>
      </c>
      <c r="K23" s="20">
        <v>222626</v>
      </c>
      <c r="L23" s="5" t="s">
        <v>19</v>
      </c>
      <c r="M23" s="5" t="s">
        <v>19</v>
      </c>
      <c r="N23" s="12"/>
      <c r="O23" s="27" t="s">
        <v>67</v>
      </c>
    </row>
    <row r="24" spans="2:27" ht="57.6" x14ac:dyDescent="0.3">
      <c r="B24" s="53"/>
      <c r="C24" s="6" t="s">
        <v>74</v>
      </c>
      <c r="D24" s="27" t="s">
        <v>61</v>
      </c>
      <c r="E24" s="26" t="s">
        <v>139</v>
      </c>
      <c r="F24" s="5" t="s">
        <v>140</v>
      </c>
      <c r="G24" s="27" t="s">
        <v>141</v>
      </c>
      <c r="H24" s="35"/>
      <c r="I24" s="39">
        <v>182430</v>
      </c>
      <c r="J24" s="8">
        <v>182438</v>
      </c>
      <c r="K24" s="8">
        <v>182349</v>
      </c>
      <c r="L24" s="5" t="s">
        <v>19</v>
      </c>
      <c r="M24" s="5" t="s">
        <v>19</v>
      </c>
      <c r="N24" s="12"/>
      <c r="O24" s="27"/>
    </row>
    <row r="25" spans="2:27" ht="72" x14ac:dyDescent="0.3">
      <c r="B25" s="53"/>
      <c r="C25" s="6" t="s">
        <v>83</v>
      </c>
      <c r="D25" s="27" t="s">
        <v>61</v>
      </c>
      <c r="E25" s="26" t="s">
        <v>142</v>
      </c>
      <c r="F25" s="5" t="s">
        <v>143</v>
      </c>
      <c r="G25" s="27" t="s">
        <v>144</v>
      </c>
      <c r="H25" s="35"/>
      <c r="I25" s="39">
        <v>183510</v>
      </c>
      <c r="J25" s="8">
        <v>183540</v>
      </c>
      <c r="K25" s="5" t="s">
        <v>19</v>
      </c>
      <c r="L25" s="5" t="s">
        <v>19</v>
      </c>
      <c r="M25" s="5" t="s">
        <v>19</v>
      </c>
      <c r="N25" s="13" t="s">
        <v>85</v>
      </c>
      <c r="O25" s="27"/>
    </row>
    <row r="26" spans="2:27" ht="72" x14ac:dyDescent="0.3">
      <c r="B26" s="53"/>
      <c r="C26" s="6" t="s">
        <v>86</v>
      </c>
      <c r="D26" s="27" t="s">
        <v>64</v>
      </c>
      <c r="E26" s="26" t="s">
        <v>145</v>
      </c>
      <c r="F26" s="5" t="s">
        <v>146</v>
      </c>
      <c r="G26" s="27" t="s">
        <v>147</v>
      </c>
      <c r="H26" s="35"/>
      <c r="I26" s="39">
        <v>183854</v>
      </c>
      <c r="J26" s="8">
        <v>183903</v>
      </c>
      <c r="K26" s="5" t="s">
        <v>19</v>
      </c>
      <c r="L26" s="5" t="s">
        <v>19</v>
      </c>
      <c r="M26" s="5" t="s">
        <v>19</v>
      </c>
      <c r="N26" s="13" t="s">
        <v>84</v>
      </c>
      <c r="O26" s="27"/>
    </row>
    <row r="27" spans="2:27" ht="72" x14ac:dyDescent="0.3">
      <c r="B27" s="53"/>
      <c r="C27" s="6" t="s">
        <v>91</v>
      </c>
      <c r="D27" s="27" t="s">
        <v>61</v>
      </c>
      <c r="E27" s="26" t="s">
        <v>148</v>
      </c>
      <c r="F27" s="5" t="s">
        <v>149</v>
      </c>
      <c r="G27" s="27" t="s">
        <v>150</v>
      </c>
      <c r="H27" s="35"/>
      <c r="I27" s="39">
        <v>190702</v>
      </c>
      <c r="J27" s="8">
        <v>190705</v>
      </c>
      <c r="K27" s="5" t="s">
        <v>19</v>
      </c>
      <c r="L27" s="5" t="s">
        <v>19</v>
      </c>
      <c r="M27" s="8">
        <v>190719</v>
      </c>
      <c r="N27" s="12" t="s">
        <v>19</v>
      </c>
      <c r="O27" s="27"/>
    </row>
    <row r="28" spans="2:27" ht="72" x14ac:dyDescent="0.3">
      <c r="B28" s="53" t="s">
        <v>36</v>
      </c>
      <c r="C28" s="4" t="s">
        <v>42</v>
      </c>
      <c r="D28" s="27" t="s">
        <v>62</v>
      </c>
      <c r="E28" s="29" t="s">
        <v>121</v>
      </c>
      <c r="F28" s="19" t="s">
        <v>121</v>
      </c>
      <c r="G28" s="30" t="s">
        <v>121</v>
      </c>
      <c r="H28" s="35"/>
      <c r="I28" s="42">
        <v>215850</v>
      </c>
      <c r="J28" s="20">
        <v>215851</v>
      </c>
      <c r="K28" s="20">
        <v>215853</v>
      </c>
      <c r="L28" s="5" t="s">
        <v>19</v>
      </c>
      <c r="M28" s="5" t="s">
        <v>19</v>
      </c>
      <c r="N28" s="12" t="s">
        <v>19</v>
      </c>
      <c r="O28" s="27" t="s">
        <v>52</v>
      </c>
      <c r="R28" t="s">
        <v>53</v>
      </c>
      <c r="S28" t="s">
        <v>55</v>
      </c>
      <c r="T28" t="s">
        <v>59</v>
      </c>
      <c r="Z28" t="s">
        <v>57</v>
      </c>
      <c r="AA28" t="s">
        <v>56</v>
      </c>
    </row>
    <row r="29" spans="2:27" ht="72" x14ac:dyDescent="0.3">
      <c r="B29" s="53"/>
      <c r="C29" s="4" t="s">
        <v>43</v>
      </c>
      <c r="D29" s="27" t="s">
        <v>63</v>
      </c>
      <c r="E29" s="29" t="s">
        <v>121</v>
      </c>
      <c r="F29" s="19" t="s">
        <v>121</v>
      </c>
      <c r="G29" s="30" t="s">
        <v>121</v>
      </c>
      <c r="H29" s="35"/>
      <c r="I29" s="42">
        <v>221117</v>
      </c>
      <c r="J29" s="20">
        <v>221118</v>
      </c>
      <c r="K29" s="20">
        <v>221119</v>
      </c>
      <c r="L29" s="5" t="s">
        <v>19</v>
      </c>
      <c r="M29" s="5" t="s">
        <v>19</v>
      </c>
      <c r="N29" s="12" t="s">
        <v>19</v>
      </c>
      <c r="O29" s="27" t="s">
        <v>52</v>
      </c>
      <c r="R29" t="s">
        <v>53</v>
      </c>
      <c r="S29" t="s">
        <v>58</v>
      </c>
      <c r="T29" t="s">
        <v>60</v>
      </c>
      <c r="Z29" t="s">
        <v>57</v>
      </c>
      <c r="AA29" t="s">
        <v>56</v>
      </c>
    </row>
    <row r="30" spans="2:27" x14ac:dyDescent="0.3">
      <c r="B30" s="53"/>
      <c r="C30" s="4"/>
      <c r="D30" s="27"/>
      <c r="E30" s="26"/>
      <c r="F30" s="5"/>
      <c r="G30" s="27"/>
      <c r="H30" s="35"/>
      <c r="I30" s="26"/>
      <c r="J30" s="5"/>
      <c r="K30" s="5"/>
      <c r="L30" s="5"/>
      <c r="M30" s="5"/>
      <c r="N30" s="12"/>
      <c r="O30" s="27"/>
    </row>
    <row r="31" spans="2:27" ht="43.2" x14ac:dyDescent="0.3">
      <c r="B31" s="53" t="s">
        <v>37</v>
      </c>
      <c r="C31" s="4" t="s">
        <v>42</v>
      </c>
      <c r="D31" s="27" t="s">
        <v>69</v>
      </c>
      <c r="E31" s="29" t="s">
        <v>121</v>
      </c>
      <c r="F31" s="19" t="s">
        <v>121</v>
      </c>
      <c r="G31" s="30" t="s">
        <v>121</v>
      </c>
      <c r="H31" s="35"/>
      <c r="I31" s="42">
        <v>223307</v>
      </c>
      <c r="J31" s="20">
        <v>223308</v>
      </c>
      <c r="K31" s="20">
        <v>223309</v>
      </c>
      <c r="L31" s="5" t="s">
        <v>19</v>
      </c>
      <c r="M31" s="5"/>
      <c r="N31" s="12"/>
      <c r="O31" s="27" t="s">
        <v>68</v>
      </c>
      <c r="Q31" t="s">
        <v>72</v>
      </c>
    </row>
    <row r="32" spans="2:27" ht="100.8" x14ac:dyDescent="0.3">
      <c r="B32" s="53"/>
      <c r="C32" s="4" t="s">
        <v>43</v>
      </c>
      <c r="D32" s="27" t="s">
        <v>73</v>
      </c>
      <c r="E32" s="29" t="s">
        <v>121</v>
      </c>
      <c r="F32" s="18" t="s">
        <v>151</v>
      </c>
      <c r="G32" s="30" t="s">
        <v>121</v>
      </c>
      <c r="H32" s="35"/>
      <c r="I32" s="42">
        <v>224416</v>
      </c>
      <c r="J32" s="21">
        <v>224417</v>
      </c>
      <c r="K32" s="20">
        <v>224418</v>
      </c>
      <c r="L32" s="5" t="s">
        <v>19</v>
      </c>
      <c r="M32" s="5"/>
      <c r="N32" s="12"/>
      <c r="O32" s="27" t="s">
        <v>75</v>
      </c>
      <c r="Q32" t="s">
        <v>72</v>
      </c>
    </row>
    <row r="33" spans="2:18" ht="43.2" x14ac:dyDescent="0.3">
      <c r="B33" s="53"/>
      <c r="C33" s="4" t="s">
        <v>66</v>
      </c>
      <c r="D33" s="27" t="s">
        <v>70</v>
      </c>
      <c r="E33" s="29" t="s">
        <v>121</v>
      </c>
      <c r="F33" s="19" t="s">
        <v>121</v>
      </c>
      <c r="G33" s="30" t="s">
        <v>121</v>
      </c>
      <c r="H33" s="35"/>
      <c r="I33" s="42">
        <v>224810</v>
      </c>
      <c r="J33" s="20">
        <v>224812</v>
      </c>
      <c r="K33" s="20">
        <v>224813</v>
      </c>
      <c r="L33" s="5" t="s">
        <v>19</v>
      </c>
      <c r="M33" s="5"/>
      <c r="N33" s="12"/>
      <c r="O33" s="27" t="s">
        <v>68</v>
      </c>
      <c r="Q33" t="s">
        <v>76</v>
      </c>
    </row>
    <row r="34" spans="2:18" ht="100.8" x14ac:dyDescent="0.3">
      <c r="B34" s="53"/>
      <c r="C34" s="4" t="s">
        <v>74</v>
      </c>
      <c r="D34" s="27" t="s">
        <v>71</v>
      </c>
      <c r="E34" s="29" t="s">
        <v>121</v>
      </c>
      <c r="F34" s="18" t="s">
        <v>152</v>
      </c>
      <c r="G34" s="31" t="s">
        <v>153</v>
      </c>
      <c r="H34" s="35"/>
      <c r="I34" s="42">
        <v>225140</v>
      </c>
      <c r="J34" s="21">
        <v>225140</v>
      </c>
      <c r="K34" s="21">
        <v>225140</v>
      </c>
      <c r="L34" s="5" t="s">
        <v>19</v>
      </c>
      <c r="M34" s="10"/>
      <c r="N34" s="12"/>
      <c r="O34" s="27" t="s">
        <v>75</v>
      </c>
      <c r="Q34" t="s">
        <v>76</v>
      </c>
    </row>
    <row r="35" spans="2:18" x14ac:dyDescent="0.3">
      <c r="B35" s="53"/>
      <c r="C35" s="4"/>
      <c r="D35" s="54"/>
      <c r="E35" s="53"/>
      <c r="F35" s="4"/>
      <c r="G35" s="54"/>
      <c r="H35" s="48"/>
      <c r="I35" s="26"/>
      <c r="J35" s="5"/>
      <c r="K35" s="5"/>
      <c r="L35" s="5"/>
      <c r="M35" s="5"/>
      <c r="N35" s="12"/>
      <c r="O35" s="27"/>
    </row>
    <row r="36" spans="2:18" x14ac:dyDescent="0.3">
      <c r="B36" s="53" t="s">
        <v>39</v>
      </c>
      <c r="C36" s="15"/>
      <c r="D36" s="56"/>
      <c r="E36" s="55"/>
      <c r="F36" s="16"/>
      <c r="G36" s="56"/>
      <c r="H36" s="49"/>
      <c r="I36" s="43"/>
      <c r="J36" s="17"/>
      <c r="K36" s="17"/>
      <c r="L36" s="16"/>
      <c r="M36" s="5"/>
      <c r="N36" s="12"/>
      <c r="O36" s="27"/>
    </row>
    <row r="37" spans="2:18" ht="86.4" x14ac:dyDescent="0.3">
      <c r="B37" s="53"/>
      <c r="C37" s="6" t="s">
        <v>43</v>
      </c>
      <c r="D37" s="27" t="s">
        <v>80</v>
      </c>
      <c r="E37" s="28" t="s">
        <v>154</v>
      </c>
      <c r="F37" s="18" t="s">
        <v>155</v>
      </c>
      <c r="G37" s="31" t="s">
        <v>156</v>
      </c>
      <c r="H37" s="35"/>
      <c r="I37" s="40">
        <v>173547</v>
      </c>
      <c r="J37" s="21">
        <v>172225</v>
      </c>
      <c r="K37" s="21">
        <v>172227</v>
      </c>
      <c r="L37" s="5"/>
      <c r="M37" s="5"/>
      <c r="N37" s="12"/>
      <c r="O37" s="27" t="s">
        <v>81</v>
      </c>
      <c r="R37" t="s">
        <v>82</v>
      </c>
    </row>
    <row r="38" spans="2:18" x14ac:dyDescent="0.3">
      <c r="B38" s="53"/>
      <c r="C38" s="4"/>
      <c r="D38" s="27"/>
      <c r="E38" s="26"/>
      <c r="F38" s="5"/>
      <c r="G38" s="27"/>
      <c r="H38" s="35"/>
      <c r="I38" s="26"/>
      <c r="J38" s="5"/>
      <c r="K38" s="5"/>
      <c r="L38" s="5"/>
      <c r="M38" s="5"/>
      <c r="N38" s="12"/>
      <c r="O38" s="27"/>
    </row>
    <row r="39" spans="2:18" ht="43.2" x14ac:dyDescent="0.3">
      <c r="B39" s="53" t="s">
        <v>78</v>
      </c>
      <c r="C39" s="6" t="s">
        <v>42</v>
      </c>
      <c r="D39" s="27" t="s">
        <v>77</v>
      </c>
      <c r="E39" s="29" t="s">
        <v>121</v>
      </c>
      <c r="F39" s="19" t="s">
        <v>121</v>
      </c>
      <c r="G39" s="30" t="s">
        <v>121</v>
      </c>
      <c r="H39" s="35"/>
      <c r="I39" s="42">
        <v>174842</v>
      </c>
      <c r="J39" s="20">
        <v>174134</v>
      </c>
      <c r="K39" s="5" t="s">
        <v>19</v>
      </c>
      <c r="L39" s="20">
        <v>174136</v>
      </c>
      <c r="M39" s="5" t="s">
        <v>19</v>
      </c>
      <c r="N39" s="12"/>
      <c r="O39" s="27" t="s">
        <v>68</v>
      </c>
      <c r="Q39" t="s">
        <v>72</v>
      </c>
    </row>
    <row r="40" spans="2:18" ht="28.8" x14ac:dyDescent="0.3">
      <c r="B40" s="53"/>
      <c r="C40" s="6" t="s">
        <v>43</v>
      </c>
      <c r="D40" s="27" t="s">
        <v>73</v>
      </c>
      <c r="E40" s="29" t="s">
        <v>121</v>
      </c>
      <c r="F40" s="19" t="s">
        <v>121</v>
      </c>
      <c r="G40" s="30" t="s">
        <v>121</v>
      </c>
      <c r="H40" s="35"/>
      <c r="I40" s="42">
        <v>175146</v>
      </c>
      <c r="J40" s="20">
        <v>175148</v>
      </c>
      <c r="K40" s="5" t="s">
        <v>19</v>
      </c>
      <c r="L40" s="20">
        <v>175149</v>
      </c>
      <c r="M40" s="5" t="s">
        <v>19</v>
      </c>
      <c r="N40" s="12"/>
      <c r="O40" s="27"/>
    </row>
    <row r="41" spans="2:18" ht="100.8" x14ac:dyDescent="0.3">
      <c r="B41" s="53"/>
      <c r="C41" s="6" t="s">
        <v>66</v>
      </c>
      <c r="D41" s="27" t="s">
        <v>77</v>
      </c>
      <c r="E41" s="28" t="s">
        <v>157</v>
      </c>
      <c r="F41" s="18" t="s">
        <v>159</v>
      </c>
      <c r="G41" s="31" t="s">
        <v>158</v>
      </c>
      <c r="H41" s="35"/>
      <c r="I41" s="40">
        <v>175411</v>
      </c>
      <c r="J41" s="21">
        <v>175412</v>
      </c>
      <c r="K41" s="5" t="s">
        <v>19</v>
      </c>
      <c r="L41" s="21">
        <v>175413</v>
      </c>
      <c r="M41" s="5" t="s">
        <v>19</v>
      </c>
      <c r="N41" s="12"/>
      <c r="O41" s="27"/>
    </row>
    <row r="42" spans="2:18" ht="86.4" x14ac:dyDescent="0.3">
      <c r="B42" s="53"/>
      <c r="C42" s="6" t="s">
        <v>74</v>
      </c>
      <c r="D42" s="27" t="s">
        <v>77</v>
      </c>
      <c r="E42" s="26" t="s">
        <v>160</v>
      </c>
      <c r="F42" s="5" t="s">
        <v>161</v>
      </c>
      <c r="G42" s="27" t="s">
        <v>162</v>
      </c>
      <c r="H42" s="35"/>
      <c r="I42" s="39">
        <v>180140</v>
      </c>
      <c r="J42" s="8">
        <v>180158</v>
      </c>
      <c r="K42" s="8" t="s">
        <v>19</v>
      </c>
      <c r="L42" s="8">
        <v>180218</v>
      </c>
      <c r="M42" s="5" t="s">
        <v>19</v>
      </c>
      <c r="N42" s="12"/>
      <c r="O42" s="27" t="s">
        <v>68</v>
      </c>
      <c r="Q42" t="s">
        <v>87</v>
      </c>
    </row>
    <row r="43" spans="2:18" ht="72" x14ac:dyDescent="0.3">
      <c r="B43" s="53"/>
      <c r="C43" s="6" t="s">
        <v>83</v>
      </c>
      <c r="D43" s="27" t="s">
        <v>77</v>
      </c>
      <c r="E43" s="26" t="s">
        <v>163</v>
      </c>
      <c r="F43" s="5" t="s">
        <v>164</v>
      </c>
      <c r="G43" s="27" t="s">
        <v>165</v>
      </c>
      <c r="H43" s="35"/>
      <c r="I43" s="39">
        <v>180759</v>
      </c>
      <c r="J43" s="8">
        <v>180814</v>
      </c>
      <c r="K43" s="8" t="s">
        <v>19</v>
      </c>
      <c r="L43" s="8">
        <v>180832</v>
      </c>
      <c r="M43" s="5" t="s">
        <v>19</v>
      </c>
      <c r="N43" s="12"/>
      <c r="O43" s="27" t="s">
        <v>68</v>
      </c>
      <c r="Q43" t="s">
        <v>88</v>
      </c>
    </row>
    <row r="44" spans="2:18" x14ac:dyDescent="0.3">
      <c r="B44" s="53"/>
      <c r="C44" s="6"/>
      <c r="D44" s="27"/>
      <c r="E44" s="26"/>
      <c r="F44" s="5"/>
      <c r="G44" s="27"/>
      <c r="H44" s="35"/>
      <c r="I44" s="26"/>
      <c r="J44" s="5"/>
      <c r="K44" s="5"/>
      <c r="L44" s="5"/>
      <c r="M44" s="5"/>
      <c r="N44" s="12"/>
      <c r="O44" s="27"/>
      <c r="P44" s="1"/>
    </row>
    <row r="45" spans="2:18" ht="43.2" x14ac:dyDescent="0.3">
      <c r="B45" s="53" t="s">
        <v>79</v>
      </c>
      <c r="C45" s="7" t="s">
        <v>42</v>
      </c>
      <c r="D45" s="27" t="s">
        <v>70</v>
      </c>
      <c r="E45" s="26" t="s">
        <v>106</v>
      </c>
      <c r="F45" s="5" t="s">
        <v>166</v>
      </c>
      <c r="G45" s="27" t="s">
        <v>167</v>
      </c>
      <c r="H45" s="35"/>
      <c r="I45" s="39">
        <v>185515</v>
      </c>
      <c r="J45" s="8">
        <v>185527</v>
      </c>
      <c r="K45" s="8" t="s">
        <v>19</v>
      </c>
      <c r="L45" s="8" t="s">
        <v>19</v>
      </c>
      <c r="M45" s="8">
        <v>185538</v>
      </c>
      <c r="N45" s="12"/>
      <c r="O45" s="27" t="s">
        <v>68</v>
      </c>
      <c r="Q45" t="s">
        <v>89</v>
      </c>
    </row>
    <row r="46" spans="2:18" ht="87" thickBot="1" x14ac:dyDescent="0.35">
      <c r="B46" s="61"/>
      <c r="C46" s="62" t="s">
        <v>43</v>
      </c>
      <c r="D46" s="47" t="s">
        <v>71</v>
      </c>
      <c r="E46" s="57" t="s">
        <v>106</v>
      </c>
      <c r="F46" s="58" t="s">
        <v>168</v>
      </c>
      <c r="G46" s="47" t="s">
        <v>169</v>
      </c>
      <c r="H46" s="35"/>
      <c r="I46" s="44">
        <v>185935</v>
      </c>
      <c r="J46" s="45">
        <v>185936</v>
      </c>
      <c r="K46" s="45" t="s">
        <v>19</v>
      </c>
      <c r="L46" s="45" t="s">
        <v>19</v>
      </c>
      <c r="M46" s="45">
        <v>185937</v>
      </c>
      <c r="N46" s="46"/>
      <c r="O46" s="47" t="s">
        <v>68</v>
      </c>
      <c r="Q46" t="s">
        <v>90</v>
      </c>
    </row>
    <row r="48" spans="2:18" x14ac:dyDescent="0.3">
      <c r="D48" s="1"/>
      <c r="E48" s="1"/>
      <c r="F48" s="1"/>
      <c r="G48" s="1"/>
      <c r="H48" s="1"/>
    </row>
    <row r="49" spans="4:8" x14ac:dyDescent="0.3">
      <c r="D49" s="1"/>
      <c r="E49" s="1"/>
      <c r="F49" s="1"/>
      <c r="G49" s="1"/>
      <c r="H49" s="1"/>
    </row>
    <row r="50" spans="4:8" x14ac:dyDescent="0.3">
      <c r="D50" s="1"/>
      <c r="E50" s="1"/>
      <c r="F50" s="1"/>
      <c r="G50" s="1"/>
      <c r="H50" s="1"/>
    </row>
    <row r="52" spans="4:8" x14ac:dyDescent="0.3">
      <c r="D52" s="1"/>
      <c r="E52" s="1"/>
      <c r="F52" s="1"/>
      <c r="G52" s="1"/>
      <c r="H52" s="1"/>
    </row>
  </sheetData>
  <mergeCells count="2">
    <mergeCell ref="I2:M2"/>
    <mergeCell ref="E2:G2"/>
  </mergeCells>
  <conditionalFormatting sqref="O16:O17 O13 L7:M11 L13:M19 M12:N12 N14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9:M29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1:M21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3:M24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8:M28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2:M22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5:L46 K39:K40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9:M43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1:L32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5:K4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4 L3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6:M2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5:M2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0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0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zoomScale="85" zoomScaleNormal="85" workbookViewId="0">
      <selection activeCell="G6" sqref="G6"/>
    </sheetView>
  </sheetViews>
  <sheetFormatPr defaultRowHeight="14.4" x14ac:dyDescent="0.3"/>
  <cols>
    <col min="1" max="1" width="17.5546875" style="74" customWidth="1"/>
    <col min="2" max="2" width="27.21875" style="75" customWidth="1"/>
    <col min="3" max="3" width="13.33203125" customWidth="1"/>
    <col min="4" max="4" width="14.109375" style="86" customWidth="1"/>
    <col min="5" max="5" width="15.33203125" customWidth="1"/>
    <col min="6" max="6" width="14.88671875" customWidth="1"/>
    <col min="7" max="7" width="15.21875" style="73" customWidth="1"/>
    <col min="8" max="8" width="36.88671875" style="75" customWidth="1"/>
  </cols>
  <sheetData>
    <row r="1" spans="1:8" ht="63" thickBot="1" x14ac:dyDescent="0.35">
      <c r="A1" s="76" t="s">
        <v>175</v>
      </c>
      <c r="B1" s="82" t="s">
        <v>176</v>
      </c>
      <c r="C1" s="77" t="s">
        <v>100</v>
      </c>
      <c r="D1" s="82" t="s">
        <v>101</v>
      </c>
      <c r="E1" s="77" t="s">
        <v>177</v>
      </c>
      <c r="F1" s="77" t="s">
        <v>278</v>
      </c>
      <c r="G1" s="77" t="s">
        <v>178</v>
      </c>
      <c r="H1" s="77" t="s">
        <v>279</v>
      </c>
    </row>
    <row r="2" spans="1:8" ht="16.2" thickBot="1" x14ac:dyDescent="0.35">
      <c r="A2" s="103" t="s">
        <v>179</v>
      </c>
      <c r="B2" s="104"/>
      <c r="C2" s="104"/>
      <c r="D2" s="104"/>
      <c r="E2" s="104"/>
      <c r="F2" s="105"/>
      <c r="G2" s="78"/>
      <c r="H2" s="78"/>
    </row>
    <row r="3" spans="1:8" ht="16.2" thickBot="1" x14ac:dyDescent="0.35">
      <c r="A3" s="87"/>
      <c r="B3" s="88"/>
      <c r="C3" s="88"/>
      <c r="D3" s="88"/>
      <c r="E3" s="88"/>
      <c r="F3" s="89"/>
      <c r="G3" s="78"/>
      <c r="H3" s="78"/>
    </row>
    <row r="4" spans="1:8" ht="60.6" thickBot="1" x14ac:dyDescent="0.35">
      <c r="A4" s="76" t="s">
        <v>180</v>
      </c>
      <c r="B4" s="83" t="s">
        <v>181</v>
      </c>
      <c r="C4" s="78" t="s">
        <v>182</v>
      </c>
      <c r="D4" s="83" t="s">
        <v>209</v>
      </c>
      <c r="E4" s="78" t="s">
        <v>244</v>
      </c>
      <c r="F4" s="78" t="s">
        <v>210</v>
      </c>
      <c r="G4" s="78" t="s">
        <v>174</v>
      </c>
      <c r="H4" s="78" t="s">
        <v>286</v>
      </c>
    </row>
    <row r="5" spans="1:8" ht="45.6" thickBot="1" x14ac:dyDescent="0.35">
      <c r="A5" s="79"/>
      <c r="B5" s="83"/>
      <c r="C5" s="78" t="s">
        <v>183</v>
      </c>
      <c r="D5" s="83" t="s">
        <v>211</v>
      </c>
      <c r="E5" s="78" t="s">
        <v>245</v>
      </c>
      <c r="F5" s="78" t="s">
        <v>212</v>
      </c>
      <c r="G5" s="78" t="s">
        <v>174</v>
      </c>
      <c r="H5" s="78" t="s">
        <v>184</v>
      </c>
    </row>
    <row r="6" spans="1:8" ht="30.6" thickBot="1" x14ac:dyDescent="0.35">
      <c r="A6" s="79"/>
      <c r="B6" s="83"/>
      <c r="C6" s="78" t="s">
        <v>185</v>
      </c>
      <c r="D6" s="83" t="s">
        <v>267</v>
      </c>
      <c r="E6" s="78" t="s">
        <v>106</v>
      </c>
      <c r="F6" s="78" t="s">
        <v>106</v>
      </c>
      <c r="G6" s="78" t="s">
        <v>174</v>
      </c>
      <c r="H6" s="78" t="s">
        <v>186</v>
      </c>
    </row>
    <row r="7" spans="1:8" ht="16.2" thickBot="1" x14ac:dyDescent="0.35">
      <c r="A7" s="103" t="s">
        <v>277</v>
      </c>
      <c r="B7" s="104"/>
      <c r="C7" s="104"/>
      <c r="D7" s="104"/>
      <c r="E7" s="104"/>
      <c r="F7" s="105"/>
      <c r="G7" s="78"/>
      <c r="H7" s="78"/>
    </row>
    <row r="8" spans="1:8" ht="15" x14ac:dyDescent="0.3">
      <c r="A8" s="97" t="s">
        <v>5</v>
      </c>
      <c r="B8" s="101" t="s">
        <v>187</v>
      </c>
      <c r="C8" s="95" t="s">
        <v>182</v>
      </c>
      <c r="D8" s="84">
        <v>67.599999999999994</v>
      </c>
      <c r="E8" s="80" t="s">
        <v>262</v>
      </c>
      <c r="F8" s="80">
        <v>1.5E-3</v>
      </c>
      <c r="G8" s="80" t="s">
        <v>173</v>
      </c>
      <c r="H8" s="101" t="s">
        <v>268</v>
      </c>
    </row>
    <row r="9" spans="1:8" ht="45.6" thickBot="1" x14ac:dyDescent="0.35">
      <c r="A9" s="98"/>
      <c r="B9" s="102"/>
      <c r="C9" s="96"/>
      <c r="D9" s="85" t="s">
        <v>213</v>
      </c>
      <c r="E9" s="81" t="s">
        <v>246</v>
      </c>
      <c r="F9" s="81" t="s">
        <v>214</v>
      </c>
      <c r="G9" s="81" t="s">
        <v>174</v>
      </c>
      <c r="H9" s="102"/>
    </row>
    <row r="10" spans="1:8" ht="60.6" thickBot="1" x14ac:dyDescent="0.35">
      <c r="A10" s="79"/>
      <c r="B10" s="83"/>
      <c r="C10" s="78" t="s">
        <v>183</v>
      </c>
      <c r="D10" s="83" t="s">
        <v>215</v>
      </c>
      <c r="E10" s="78" t="s">
        <v>247</v>
      </c>
      <c r="F10" s="78" t="s">
        <v>216</v>
      </c>
      <c r="G10" s="78" t="s">
        <v>174</v>
      </c>
      <c r="H10" s="78" t="s">
        <v>269</v>
      </c>
    </row>
    <row r="11" spans="1:8" ht="15" x14ac:dyDescent="0.3">
      <c r="A11" s="99" t="s">
        <v>6</v>
      </c>
      <c r="B11" s="101" t="s">
        <v>188</v>
      </c>
      <c r="C11" s="95" t="s">
        <v>183</v>
      </c>
      <c r="D11" s="84">
        <v>5.59</v>
      </c>
      <c r="E11" s="80" t="s">
        <v>248</v>
      </c>
      <c r="F11" s="80">
        <v>3.6000000000000002E-4</v>
      </c>
      <c r="G11" s="80" t="s">
        <v>174</v>
      </c>
      <c r="H11" s="101" t="s">
        <v>283</v>
      </c>
    </row>
    <row r="12" spans="1:8" ht="15.6" thickBot="1" x14ac:dyDescent="0.35">
      <c r="A12" s="100"/>
      <c r="B12" s="102"/>
      <c r="C12" s="96"/>
      <c r="D12" s="85" t="s">
        <v>217</v>
      </c>
      <c r="E12" s="81" t="s">
        <v>249</v>
      </c>
      <c r="F12" s="81">
        <v>5.8E-4</v>
      </c>
      <c r="G12" s="81" t="s">
        <v>174</v>
      </c>
      <c r="H12" s="102"/>
    </row>
    <row r="13" spans="1:8" ht="45.6" thickBot="1" x14ac:dyDescent="0.35">
      <c r="A13" s="76" t="s">
        <v>7</v>
      </c>
      <c r="B13" s="83" t="s">
        <v>189</v>
      </c>
      <c r="C13" s="78" t="s">
        <v>185</v>
      </c>
      <c r="D13" s="83" t="s">
        <v>218</v>
      </c>
      <c r="E13" s="78" t="s">
        <v>250</v>
      </c>
      <c r="F13" s="78" t="s">
        <v>219</v>
      </c>
      <c r="G13" s="78" t="s">
        <v>174</v>
      </c>
      <c r="H13" s="78" t="s">
        <v>190</v>
      </c>
    </row>
    <row r="14" spans="1:8" ht="16.2" thickBot="1" x14ac:dyDescent="0.35">
      <c r="A14" s="103" t="s">
        <v>276</v>
      </c>
      <c r="B14" s="104"/>
      <c r="C14" s="104"/>
      <c r="D14" s="104"/>
      <c r="E14" s="104"/>
      <c r="F14" s="105"/>
      <c r="G14" s="78"/>
      <c r="H14" s="78"/>
    </row>
    <row r="15" spans="1:8" ht="45.6" thickBot="1" x14ac:dyDescent="0.35">
      <c r="A15" s="76" t="s">
        <v>9</v>
      </c>
      <c r="B15" s="83" t="s">
        <v>265</v>
      </c>
      <c r="C15" s="78" t="s">
        <v>182</v>
      </c>
      <c r="D15" s="83" t="s">
        <v>220</v>
      </c>
      <c r="E15" s="78" t="s">
        <v>251</v>
      </c>
      <c r="F15" s="78" t="s">
        <v>221</v>
      </c>
      <c r="G15" s="78" t="s">
        <v>173</v>
      </c>
      <c r="H15" s="78" t="s">
        <v>191</v>
      </c>
    </row>
    <row r="16" spans="1:8" ht="45.6" thickBot="1" x14ac:dyDescent="0.35">
      <c r="A16" s="79"/>
      <c r="B16" s="83"/>
      <c r="C16" s="78" t="s">
        <v>26</v>
      </c>
      <c r="D16" s="83" t="s">
        <v>222</v>
      </c>
      <c r="E16" s="78" t="s">
        <v>252</v>
      </c>
      <c r="F16" s="78" t="s">
        <v>223</v>
      </c>
      <c r="G16" s="78" t="s">
        <v>173</v>
      </c>
      <c r="H16" s="78" t="s">
        <v>280</v>
      </c>
    </row>
    <row r="17" spans="1:8" ht="45.6" thickBot="1" x14ac:dyDescent="0.35">
      <c r="A17" s="76" t="s">
        <v>10</v>
      </c>
      <c r="B17" s="83" t="s">
        <v>266</v>
      </c>
      <c r="C17" s="78" t="s">
        <v>182</v>
      </c>
      <c r="D17" s="83" t="s">
        <v>224</v>
      </c>
      <c r="E17" s="78" t="s">
        <v>253</v>
      </c>
      <c r="F17" s="78" t="s">
        <v>225</v>
      </c>
      <c r="G17" s="78" t="s">
        <v>173</v>
      </c>
      <c r="H17" s="78" t="s">
        <v>270</v>
      </c>
    </row>
    <row r="18" spans="1:8" ht="60.6" thickBot="1" x14ac:dyDescent="0.35">
      <c r="A18" s="79"/>
      <c r="B18" s="83"/>
      <c r="C18" s="78" t="s">
        <v>192</v>
      </c>
      <c r="D18" s="83" t="s">
        <v>226</v>
      </c>
      <c r="E18" s="78" t="s">
        <v>254</v>
      </c>
      <c r="F18" s="78" t="s">
        <v>227</v>
      </c>
      <c r="G18" s="78" t="s">
        <v>173</v>
      </c>
      <c r="H18" s="78" t="s">
        <v>193</v>
      </c>
    </row>
    <row r="19" spans="1:8" ht="75.599999999999994" thickBot="1" x14ac:dyDescent="0.35">
      <c r="A19" s="76" t="s">
        <v>194</v>
      </c>
      <c r="B19" s="83" t="s">
        <v>264</v>
      </c>
      <c r="C19" s="78" t="s">
        <v>183</v>
      </c>
      <c r="D19" s="83">
        <v>13.32</v>
      </c>
      <c r="E19" s="78" t="s">
        <v>263</v>
      </c>
      <c r="F19" s="78">
        <v>2.7089999999999999E-2</v>
      </c>
      <c r="G19" s="78" t="s">
        <v>285</v>
      </c>
      <c r="H19" s="78" t="s">
        <v>271</v>
      </c>
    </row>
    <row r="20" spans="1:8" ht="60.6" thickBot="1" x14ac:dyDescent="0.35">
      <c r="A20" s="79"/>
      <c r="B20" s="83"/>
      <c r="C20" s="78" t="s">
        <v>185</v>
      </c>
      <c r="D20" s="83" t="s">
        <v>228</v>
      </c>
      <c r="E20" s="78" t="s">
        <v>252</v>
      </c>
      <c r="F20" s="78" t="s">
        <v>229</v>
      </c>
      <c r="G20" s="78" t="s">
        <v>173</v>
      </c>
      <c r="H20" s="78" t="s">
        <v>195</v>
      </c>
    </row>
    <row r="21" spans="1:8" ht="16.2" thickBot="1" x14ac:dyDescent="0.35">
      <c r="A21" s="103" t="s">
        <v>196</v>
      </c>
      <c r="B21" s="104"/>
      <c r="C21" s="104"/>
      <c r="D21" s="104"/>
      <c r="E21" s="104"/>
      <c r="F21" s="105"/>
      <c r="G21" s="78"/>
      <c r="H21" s="78"/>
    </row>
    <row r="22" spans="1:8" ht="45.6" thickBot="1" x14ac:dyDescent="0.35">
      <c r="A22" s="76" t="s">
        <v>197</v>
      </c>
      <c r="B22" s="83" t="s">
        <v>281</v>
      </c>
      <c r="C22" s="78" t="s">
        <v>182</v>
      </c>
      <c r="D22" s="83" t="s">
        <v>230</v>
      </c>
      <c r="E22" s="78" t="s">
        <v>255</v>
      </c>
      <c r="F22" s="78" t="s">
        <v>231</v>
      </c>
      <c r="G22" s="78" t="s">
        <v>284</v>
      </c>
      <c r="H22" s="78" t="s">
        <v>198</v>
      </c>
    </row>
    <row r="23" spans="1:8" ht="45.6" thickBot="1" x14ac:dyDescent="0.35">
      <c r="A23" s="76" t="s">
        <v>34</v>
      </c>
      <c r="B23" s="83" t="s">
        <v>287</v>
      </c>
      <c r="C23" s="78" t="s">
        <v>182</v>
      </c>
      <c r="D23" s="83" t="s">
        <v>232</v>
      </c>
      <c r="E23" s="78" t="s">
        <v>256</v>
      </c>
      <c r="F23" s="78" t="s">
        <v>233</v>
      </c>
      <c r="G23" s="78" t="s">
        <v>174</v>
      </c>
      <c r="H23" s="78" t="s">
        <v>288</v>
      </c>
    </row>
    <row r="24" spans="1:8" ht="45" x14ac:dyDescent="0.3">
      <c r="A24" s="97" t="s">
        <v>199</v>
      </c>
      <c r="B24" s="101" t="s">
        <v>200</v>
      </c>
      <c r="C24" s="80" t="s">
        <v>201</v>
      </c>
      <c r="D24" s="84" t="s">
        <v>234</v>
      </c>
      <c r="E24" s="80" t="s">
        <v>257</v>
      </c>
      <c r="F24" s="80" t="s">
        <v>235</v>
      </c>
      <c r="G24" s="80" t="s">
        <v>173</v>
      </c>
      <c r="H24" s="95" t="s">
        <v>202</v>
      </c>
    </row>
    <row r="25" spans="1:8" ht="45.6" thickBot="1" x14ac:dyDescent="0.35">
      <c r="A25" s="98"/>
      <c r="B25" s="102"/>
      <c r="C25" s="81" t="s">
        <v>182</v>
      </c>
      <c r="D25" s="85" t="s">
        <v>236</v>
      </c>
      <c r="E25" s="81" t="s">
        <v>258</v>
      </c>
      <c r="F25" s="81" t="s">
        <v>237</v>
      </c>
      <c r="G25" s="81" t="s">
        <v>173</v>
      </c>
      <c r="H25" s="96"/>
    </row>
    <row r="26" spans="1:8" ht="16.2" thickBot="1" x14ac:dyDescent="0.35">
      <c r="A26" s="103" t="s">
        <v>282</v>
      </c>
      <c r="B26" s="104"/>
      <c r="C26" s="104"/>
      <c r="D26" s="104"/>
      <c r="E26" s="104"/>
      <c r="F26" s="105"/>
      <c r="G26" s="78"/>
      <c r="H26" s="78"/>
    </row>
    <row r="27" spans="1:8" ht="45" x14ac:dyDescent="0.3">
      <c r="A27" s="97" t="s">
        <v>203</v>
      </c>
      <c r="B27" s="101" t="s">
        <v>204</v>
      </c>
      <c r="C27" s="95" t="s">
        <v>182</v>
      </c>
      <c r="D27" s="84" t="s">
        <v>272</v>
      </c>
      <c r="E27" s="80" t="s">
        <v>273</v>
      </c>
      <c r="F27" s="80" t="s">
        <v>274</v>
      </c>
      <c r="G27" s="80" t="s">
        <v>173</v>
      </c>
      <c r="H27" s="97" t="s">
        <v>275</v>
      </c>
    </row>
    <row r="28" spans="1:8" ht="45.6" thickBot="1" x14ac:dyDescent="0.35">
      <c r="A28" s="98"/>
      <c r="B28" s="102"/>
      <c r="C28" s="96"/>
      <c r="D28" s="85" t="s">
        <v>238</v>
      </c>
      <c r="E28" s="81" t="s">
        <v>259</v>
      </c>
      <c r="F28" s="81" t="s">
        <v>239</v>
      </c>
      <c r="G28" s="81" t="s">
        <v>173</v>
      </c>
      <c r="H28" s="98"/>
    </row>
    <row r="29" spans="1:8" ht="45.6" thickBot="1" x14ac:dyDescent="0.35">
      <c r="A29" s="79"/>
      <c r="B29" s="83"/>
      <c r="C29" s="78" t="s">
        <v>26</v>
      </c>
      <c r="D29" s="83" t="s">
        <v>240</v>
      </c>
      <c r="E29" s="78" t="s">
        <v>260</v>
      </c>
      <c r="F29" s="78" t="s">
        <v>241</v>
      </c>
      <c r="G29" s="78" t="s">
        <v>173</v>
      </c>
      <c r="H29" s="78" t="s">
        <v>205</v>
      </c>
    </row>
    <row r="30" spans="1:8" ht="45.6" thickBot="1" x14ac:dyDescent="0.35">
      <c r="A30" s="76" t="s">
        <v>206</v>
      </c>
      <c r="B30" s="83" t="s">
        <v>207</v>
      </c>
      <c r="C30" s="78" t="s">
        <v>183</v>
      </c>
      <c r="D30" s="83" t="s">
        <v>242</v>
      </c>
      <c r="E30" s="78" t="s">
        <v>261</v>
      </c>
      <c r="F30" s="78" t="s">
        <v>243</v>
      </c>
      <c r="G30" s="78" t="s">
        <v>174</v>
      </c>
      <c r="H30" s="78" t="s">
        <v>208</v>
      </c>
    </row>
  </sheetData>
  <mergeCells count="20">
    <mergeCell ref="H8:H9"/>
    <mergeCell ref="A2:F2"/>
    <mergeCell ref="A14:F14"/>
    <mergeCell ref="A21:F21"/>
    <mergeCell ref="A7:F7"/>
    <mergeCell ref="A8:A9"/>
    <mergeCell ref="B8:B9"/>
    <mergeCell ref="C8:C9"/>
    <mergeCell ref="C27:C28"/>
    <mergeCell ref="H27:H28"/>
    <mergeCell ref="A11:A12"/>
    <mergeCell ref="B11:B12"/>
    <mergeCell ref="C11:C12"/>
    <mergeCell ref="H11:H12"/>
    <mergeCell ref="A24:A25"/>
    <mergeCell ref="B24:B25"/>
    <mergeCell ref="H24:H25"/>
    <mergeCell ref="A26:F26"/>
    <mergeCell ref="A27:A28"/>
    <mergeCell ref="B27:B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 book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2026-06-15T12:38:53Z</dcterms:modified>
</cp:coreProperties>
</file>